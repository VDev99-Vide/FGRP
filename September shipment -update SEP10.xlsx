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leggettplatt-my.sharepoint.com/personal/vinh_pham_leggett_com/Documents/Desktop/"/>
    </mc:Choice>
  </mc:AlternateContent>
  <xr:revisionPtr revIDLastSave="27" documentId="8_{5BE709FD-9A76-4FB7-92B8-405EEE85CA92}" xr6:coauthVersionLast="47" xr6:coauthVersionMax="47" xr10:uidLastSave="{88A95DE0-2960-4137-9DB8-82214DE78D07}"/>
  <bookViews>
    <workbookView xWindow="-120" yWindow="-120" windowWidth="29040" windowHeight="15720" xr2:uid="{FC099461-B435-4464-9592-771B350636EB}"/>
  </bookViews>
  <sheets>
    <sheet name="Data-full info." sheetId="1" r:id="rId1"/>
    <sheet name="whs-production" sheetId="2" state="hidden" r:id="rId2"/>
  </sheets>
  <definedNames>
    <definedName name="_xlnm._FilterDatabase" localSheetId="1" hidden="1">'whs-production'!$A$1:$Y$1</definedName>
    <definedName name="_xlnm.Print_Area" localSheetId="0">'Data-full info.'!#REF!</definedName>
    <definedName name="_xlnm.Print_Area" localSheetId="1">'whs-production'!$A$1:$J$1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6" i="2" l="1"/>
  <c r="X3" i="2"/>
  <c r="X4" i="2"/>
  <c r="X5" i="2"/>
  <c r="N6" i="2"/>
  <c r="N5" i="2"/>
  <c r="N4" i="2"/>
  <c r="U6" i="2"/>
  <c r="X109" i="2" l="1"/>
  <c r="T109" i="2"/>
  <c r="U109" i="2" s="1"/>
  <c r="N109" i="2"/>
  <c r="X108" i="2"/>
  <c r="T108" i="2"/>
  <c r="N108" i="2"/>
  <c r="M108" i="2"/>
  <c r="X107" i="2"/>
  <c r="T107" i="2"/>
  <c r="U107" i="2" s="1"/>
  <c r="N107" i="2"/>
  <c r="X106" i="2"/>
  <c r="T106" i="2"/>
  <c r="N106" i="2"/>
  <c r="M106" i="2"/>
  <c r="X105" i="2"/>
  <c r="T105" i="2"/>
  <c r="U105" i="2" s="1"/>
  <c r="N105" i="2"/>
  <c r="X104" i="2"/>
  <c r="T104" i="2"/>
  <c r="N104" i="2"/>
  <c r="M104" i="2"/>
  <c r="X102" i="2"/>
  <c r="T102" i="2"/>
  <c r="U102" i="2" s="1"/>
  <c r="N102" i="2"/>
  <c r="X101" i="2"/>
  <c r="T101" i="2"/>
  <c r="U101" i="2" s="1"/>
  <c r="N101" i="2"/>
  <c r="M101" i="2"/>
  <c r="X100" i="2"/>
  <c r="T100" i="2"/>
  <c r="U100" i="2" s="1"/>
  <c r="N100" i="2"/>
  <c r="X99" i="2"/>
  <c r="T99" i="2"/>
  <c r="N99" i="2"/>
  <c r="M99" i="2"/>
  <c r="X98" i="2"/>
  <c r="T98" i="2"/>
  <c r="U98" i="2" s="1"/>
  <c r="N98" i="2"/>
  <c r="X97" i="2"/>
  <c r="T97" i="2"/>
  <c r="N97" i="2"/>
  <c r="M97" i="2"/>
  <c r="X96" i="2"/>
  <c r="T96" i="2"/>
  <c r="U96" i="2" s="1"/>
  <c r="N96" i="2"/>
  <c r="X95" i="2"/>
  <c r="T95" i="2"/>
  <c r="N95" i="2"/>
  <c r="M95" i="2"/>
  <c r="M103" i="2" s="1"/>
  <c r="X93" i="2"/>
  <c r="T93" i="2"/>
  <c r="U93" i="2" s="1"/>
  <c r="N93" i="2"/>
  <c r="X92" i="2"/>
  <c r="T92" i="2"/>
  <c r="N92" i="2"/>
  <c r="M92" i="2"/>
  <c r="X91" i="2"/>
  <c r="T91" i="2"/>
  <c r="U91" i="2" s="1"/>
  <c r="N91" i="2"/>
  <c r="X90" i="2"/>
  <c r="T90" i="2"/>
  <c r="N90" i="2"/>
  <c r="M90" i="2"/>
  <c r="M94" i="2" s="1"/>
  <c r="X88" i="2"/>
  <c r="T88" i="2"/>
  <c r="U88" i="2" s="1"/>
  <c r="N88" i="2"/>
  <c r="X87" i="2"/>
  <c r="T87" i="2"/>
  <c r="N87" i="2"/>
  <c r="M87" i="2"/>
  <c r="M89" i="2" s="1"/>
  <c r="X85" i="2"/>
  <c r="T85" i="2"/>
  <c r="U85" i="2" s="1"/>
  <c r="N85" i="2"/>
  <c r="X84" i="2"/>
  <c r="T84" i="2"/>
  <c r="N84" i="2"/>
  <c r="M84" i="2"/>
  <c r="X83" i="2"/>
  <c r="T83" i="2"/>
  <c r="U83" i="2" s="1"/>
  <c r="N83" i="2"/>
  <c r="X82" i="2"/>
  <c r="T82" i="2"/>
  <c r="N82" i="2"/>
  <c r="M82" i="2"/>
  <c r="X81" i="2"/>
  <c r="T81" i="2"/>
  <c r="U81" i="2" s="1"/>
  <c r="N81" i="2"/>
  <c r="X80" i="2"/>
  <c r="T80" i="2"/>
  <c r="N80" i="2"/>
  <c r="M80" i="2"/>
  <c r="M86" i="2" s="1"/>
  <c r="X78" i="2"/>
  <c r="T78" i="2"/>
  <c r="U78" i="2" s="1"/>
  <c r="N78" i="2"/>
  <c r="X77" i="2"/>
  <c r="T77" i="2"/>
  <c r="N77" i="2"/>
  <c r="M77" i="2"/>
  <c r="X76" i="2"/>
  <c r="T76" i="2"/>
  <c r="U76" i="2" s="1"/>
  <c r="N76" i="2"/>
  <c r="X75" i="2"/>
  <c r="T75" i="2"/>
  <c r="N75" i="2"/>
  <c r="M75" i="2"/>
  <c r="X74" i="2"/>
  <c r="T74" i="2"/>
  <c r="U74" i="2" s="1"/>
  <c r="N74" i="2"/>
  <c r="X73" i="2"/>
  <c r="T73" i="2"/>
  <c r="N73" i="2"/>
  <c r="M73" i="2"/>
  <c r="X72" i="2"/>
  <c r="T72" i="2"/>
  <c r="U72" i="2" s="1"/>
  <c r="N72" i="2"/>
  <c r="X71" i="2"/>
  <c r="T71" i="2"/>
  <c r="N71" i="2"/>
  <c r="M71" i="2"/>
  <c r="U71" i="2" s="1"/>
  <c r="X70" i="2"/>
  <c r="T70" i="2"/>
  <c r="U70" i="2" s="1"/>
  <c r="N70" i="2"/>
  <c r="X69" i="2"/>
  <c r="T69" i="2"/>
  <c r="N69" i="2"/>
  <c r="M69" i="2"/>
  <c r="X67" i="2"/>
  <c r="T67" i="2"/>
  <c r="U67" i="2" s="1"/>
  <c r="N67" i="2"/>
  <c r="X66" i="2"/>
  <c r="T66" i="2"/>
  <c r="N66" i="2"/>
  <c r="M66" i="2"/>
  <c r="X65" i="2"/>
  <c r="T65" i="2"/>
  <c r="U65" i="2" s="1"/>
  <c r="N65" i="2"/>
  <c r="X64" i="2"/>
  <c r="T64" i="2"/>
  <c r="N64" i="2"/>
  <c r="M64" i="2"/>
  <c r="X63" i="2"/>
  <c r="T63" i="2"/>
  <c r="U63" i="2" s="1"/>
  <c r="N63" i="2"/>
  <c r="X62" i="2"/>
  <c r="T62" i="2"/>
  <c r="N62" i="2"/>
  <c r="M62" i="2"/>
  <c r="X61" i="2"/>
  <c r="T61" i="2"/>
  <c r="U61" i="2" s="1"/>
  <c r="N61" i="2"/>
  <c r="X60" i="2"/>
  <c r="T60" i="2"/>
  <c r="N60" i="2"/>
  <c r="M60" i="2"/>
  <c r="X58" i="2"/>
  <c r="T58" i="2"/>
  <c r="N58" i="2"/>
  <c r="M58" i="2"/>
  <c r="X57" i="2"/>
  <c r="T57" i="2"/>
  <c r="N57" i="2"/>
  <c r="M57" i="2"/>
  <c r="X55" i="2"/>
  <c r="T55" i="2"/>
  <c r="U55" i="2" s="1"/>
  <c r="N55" i="2"/>
  <c r="X54" i="2"/>
  <c r="T54" i="2"/>
  <c r="N54" i="2"/>
  <c r="M54" i="2"/>
  <c r="X53" i="2"/>
  <c r="T53" i="2"/>
  <c r="U53" i="2" s="1"/>
  <c r="N53" i="2"/>
  <c r="X52" i="2"/>
  <c r="T52" i="2"/>
  <c r="N52" i="2"/>
  <c r="M52" i="2"/>
  <c r="X51" i="2"/>
  <c r="T51" i="2"/>
  <c r="U51" i="2" s="1"/>
  <c r="N51" i="2"/>
  <c r="X50" i="2"/>
  <c r="T50" i="2"/>
  <c r="N50" i="2"/>
  <c r="M50" i="2"/>
  <c r="X49" i="2"/>
  <c r="T49" i="2"/>
  <c r="U49" i="2" s="1"/>
  <c r="N49" i="2"/>
  <c r="X48" i="2"/>
  <c r="T48" i="2"/>
  <c r="N48" i="2"/>
  <c r="M48" i="2"/>
  <c r="U48" i="2" s="1"/>
  <c r="X47" i="2"/>
  <c r="T47" i="2"/>
  <c r="U47" i="2" s="1"/>
  <c r="N47" i="2"/>
  <c r="X46" i="2"/>
  <c r="T46" i="2"/>
  <c r="N46" i="2"/>
  <c r="M46" i="2"/>
  <c r="X45" i="2"/>
  <c r="U45" i="2"/>
  <c r="N45" i="2"/>
  <c r="X44" i="2"/>
  <c r="N44" i="2"/>
  <c r="M44" i="2"/>
  <c r="U44" i="2" s="1"/>
  <c r="X42" i="2"/>
  <c r="T42" i="2"/>
  <c r="N42" i="2"/>
  <c r="M42" i="2"/>
  <c r="X41" i="2"/>
  <c r="T41" i="2"/>
  <c r="N41" i="2"/>
  <c r="M41" i="2"/>
  <c r="X40" i="2"/>
  <c r="T40" i="2"/>
  <c r="U40" i="2" s="1"/>
  <c r="N40" i="2"/>
  <c r="X39" i="2"/>
  <c r="T39" i="2"/>
  <c r="N39" i="2"/>
  <c r="M39" i="2"/>
  <c r="X38" i="2"/>
  <c r="T38" i="2"/>
  <c r="U38" i="2" s="1"/>
  <c r="N38" i="2"/>
  <c r="X37" i="2"/>
  <c r="T37" i="2"/>
  <c r="N37" i="2"/>
  <c r="M37" i="2"/>
  <c r="X36" i="2"/>
  <c r="T36" i="2"/>
  <c r="U36" i="2" s="1"/>
  <c r="N36" i="2"/>
  <c r="X35" i="2"/>
  <c r="T35" i="2"/>
  <c r="N35" i="2"/>
  <c r="M35" i="2"/>
  <c r="X34" i="2"/>
  <c r="T34" i="2"/>
  <c r="U34" i="2" s="1"/>
  <c r="N34" i="2"/>
  <c r="X33" i="2"/>
  <c r="T33" i="2"/>
  <c r="N33" i="2"/>
  <c r="M33" i="2"/>
  <c r="X32" i="2"/>
  <c r="T32" i="2"/>
  <c r="U32" i="2" s="1"/>
  <c r="N32" i="2"/>
  <c r="X31" i="2"/>
  <c r="T31" i="2"/>
  <c r="N31" i="2"/>
  <c r="M31" i="2"/>
  <c r="X30" i="2"/>
  <c r="T30" i="2"/>
  <c r="U30" i="2" s="1"/>
  <c r="N30" i="2"/>
  <c r="X29" i="2"/>
  <c r="T29" i="2"/>
  <c r="N29" i="2"/>
  <c r="M29" i="2"/>
  <c r="X28" i="2"/>
  <c r="T28" i="2"/>
  <c r="U28" i="2" s="1"/>
  <c r="N28" i="2"/>
  <c r="X27" i="2"/>
  <c r="T27" i="2"/>
  <c r="N27" i="2"/>
  <c r="M27" i="2"/>
  <c r="X25" i="2"/>
  <c r="T25" i="2"/>
  <c r="N25" i="2"/>
  <c r="M25" i="2"/>
  <c r="X24" i="2"/>
  <c r="T24" i="2"/>
  <c r="N24" i="2"/>
  <c r="M24" i="2"/>
  <c r="X23" i="2"/>
  <c r="T23" i="2"/>
  <c r="N23" i="2"/>
  <c r="M23" i="2"/>
  <c r="X22" i="2"/>
  <c r="T22" i="2"/>
  <c r="N22" i="2"/>
  <c r="M22" i="2"/>
  <c r="X20" i="2"/>
  <c r="T20" i="2"/>
  <c r="N20" i="2"/>
  <c r="M20" i="2"/>
  <c r="X19" i="2"/>
  <c r="T19" i="2"/>
  <c r="N19" i="2"/>
  <c r="M19" i="2"/>
  <c r="X17" i="2"/>
  <c r="X16" i="2"/>
  <c r="T16" i="2"/>
  <c r="U16" i="2" s="1"/>
  <c r="N16" i="2"/>
  <c r="X15" i="2"/>
  <c r="T15" i="2"/>
  <c r="N15" i="2"/>
  <c r="M15" i="2"/>
  <c r="X14" i="2"/>
  <c r="T14" i="2"/>
  <c r="N14" i="2"/>
  <c r="M14" i="2"/>
  <c r="X13" i="2"/>
  <c r="T13" i="2"/>
  <c r="N13" i="2"/>
  <c r="M13" i="2"/>
  <c r="X12" i="2"/>
  <c r="T12" i="2"/>
  <c r="N12" i="2"/>
  <c r="M12" i="2"/>
  <c r="X11" i="2"/>
  <c r="T11" i="2"/>
  <c r="N11" i="2"/>
  <c r="M11" i="2"/>
  <c r="X10" i="2"/>
  <c r="T10" i="2"/>
  <c r="N10" i="2"/>
  <c r="M10" i="2"/>
  <c r="X9" i="2"/>
  <c r="T9" i="2"/>
  <c r="N9" i="2"/>
  <c r="M9" i="2"/>
  <c r="X8" i="2"/>
  <c r="T8" i="2"/>
  <c r="N8" i="2"/>
  <c r="M8" i="2"/>
  <c r="X7" i="2"/>
  <c r="T7" i="2"/>
  <c r="N7" i="2"/>
  <c r="M7" i="2"/>
  <c r="T3" i="2"/>
  <c r="N3" i="2"/>
  <c r="M3" i="2"/>
  <c r="X2" i="2"/>
  <c r="T2" i="2"/>
  <c r="N2" i="2"/>
  <c r="M2" i="2"/>
  <c r="U29" i="2" l="1"/>
  <c r="U33" i="2"/>
  <c r="N26" i="2"/>
  <c r="O26" i="2" s="1"/>
  <c r="U22" i="2"/>
  <c r="U62" i="2"/>
  <c r="N86" i="2"/>
  <c r="O86" i="2" s="1"/>
  <c r="N21" i="2"/>
  <c r="O21" i="2" s="1"/>
  <c r="U66" i="2"/>
  <c r="U19" i="2"/>
  <c r="U21" i="2" s="1"/>
  <c r="X86" i="2"/>
  <c r="X21" i="2"/>
  <c r="U58" i="2"/>
  <c r="U104" i="2"/>
  <c r="U64" i="2"/>
  <c r="U46" i="2"/>
  <c r="U97" i="2"/>
  <c r="U9" i="2"/>
  <c r="U27" i="2"/>
  <c r="U52" i="2"/>
  <c r="X59" i="2"/>
  <c r="M68" i="2"/>
  <c r="U41" i="2"/>
  <c r="U12" i="2"/>
  <c r="U15" i="2"/>
  <c r="N89" i="2"/>
  <c r="O89" i="2" s="1"/>
  <c r="U25" i="2"/>
  <c r="M110" i="2"/>
  <c r="U10" i="2"/>
  <c r="U75" i="2"/>
  <c r="U106" i="2"/>
  <c r="X43" i="2"/>
  <c r="U7" i="2"/>
  <c r="U90" i="2"/>
  <c r="U94" i="2" s="1"/>
  <c r="U42" i="2"/>
  <c r="X94" i="2"/>
  <c r="U11" i="2"/>
  <c r="U23" i="2"/>
  <c r="U31" i="2"/>
  <c r="U60" i="2"/>
  <c r="U99" i="2"/>
  <c r="N18" i="2"/>
  <c r="O18" i="2" s="1"/>
  <c r="M79" i="2"/>
  <c r="N103" i="2"/>
  <c r="O103" i="2" s="1"/>
  <c r="U39" i="2"/>
  <c r="N79" i="2"/>
  <c r="O79" i="2" s="1"/>
  <c r="N68" i="2"/>
  <c r="O68" i="2" s="1"/>
  <c r="U69" i="2"/>
  <c r="U73" i="2"/>
  <c r="U77" i="2"/>
  <c r="U82" i="2"/>
  <c r="X103" i="2"/>
  <c r="U108" i="2"/>
  <c r="U20" i="2"/>
  <c r="U24" i="2"/>
  <c r="N59" i="2"/>
  <c r="O59" i="2" s="1"/>
  <c r="X79" i="2"/>
  <c r="U87" i="2"/>
  <c r="U89" i="2" s="1"/>
  <c r="X110" i="2"/>
  <c r="N43" i="2"/>
  <c r="O43" i="2" s="1"/>
  <c r="U80" i="2"/>
  <c r="U54" i="2"/>
  <c r="X26" i="2"/>
  <c r="U14" i="2"/>
  <c r="U95" i="2"/>
  <c r="U8" i="2"/>
  <c r="U57" i="2"/>
  <c r="U92" i="2"/>
  <c r="U50" i="2"/>
  <c r="U84" i="2"/>
  <c r="N94" i="2"/>
  <c r="O94" i="2" s="1"/>
  <c r="X18" i="2"/>
  <c r="N110" i="2"/>
  <c r="U35" i="2"/>
  <c r="N56" i="2"/>
  <c r="O56" i="2" s="1"/>
  <c r="X68" i="2"/>
  <c r="X89" i="2"/>
  <c r="U13" i="2"/>
  <c r="U37" i="2"/>
  <c r="X56" i="2"/>
  <c r="M56" i="2"/>
  <c r="M43" i="2"/>
  <c r="U68" i="2" l="1"/>
  <c r="U103" i="2"/>
  <c r="U59" i="2"/>
  <c r="U18" i="2"/>
  <c r="U26" i="2"/>
  <c r="U43" i="2"/>
  <c r="U79" i="2"/>
  <c r="O110" i="2"/>
  <c r="U56" i="2"/>
  <c r="U86" i="2"/>
</calcChain>
</file>

<file path=xl/sharedStrings.xml><?xml version="1.0" encoding="utf-8"?>
<sst xmlns="http://schemas.openxmlformats.org/spreadsheetml/2006/main" count="466" uniqueCount="133">
  <si>
    <t>Customer</t>
  </si>
  <si>
    <t>Type</t>
  </si>
  <si>
    <t>PO</t>
  </si>
  <si>
    <t>LPVN Item code</t>
  </si>
  <si>
    <t>Feature</t>
  </si>
  <si>
    <t>Item Description</t>
  </si>
  <si>
    <t>Loading Date</t>
  </si>
  <si>
    <t>Qty</t>
  </si>
  <si>
    <t>Unit price</t>
  </si>
  <si>
    <t>Total amount</t>
  </si>
  <si>
    <t>Column1</t>
  </si>
  <si>
    <t>Best Home</t>
  </si>
  <si>
    <t>Trade</t>
  </si>
  <si>
    <t>8353 Recliner LHF</t>
  </si>
  <si>
    <t>8353 Recliner RHF</t>
  </si>
  <si>
    <t>5633 Recliner LHF</t>
  </si>
  <si>
    <t>5633 Recliner RHF</t>
  </si>
  <si>
    <t>8323 Recliner LHF</t>
  </si>
  <si>
    <t>8323 Recliner RHF</t>
  </si>
  <si>
    <t>8324 Recliner LHF</t>
  </si>
  <si>
    <t>8324 Recliner RHF</t>
  </si>
  <si>
    <t>8334 Recliner LHF</t>
  </si>
  <si>
    <t>8334 Recliner RHF</t>
  </si>
  <si>
    <t>8383 Recliner LHF</t>
  </si>
  <si>
    <t>8383 Recliner RHF</t>
  </si>
  <si>
    <t>8363 Recliner LHF</t>
  </si>
  <si>
    <t>8363 Recliner RHF</t>
  </si>
  <si>
    <t>8392 Recliner LHF</t>
  </si>
  <si>
    <t>8392 Recliner RHF</t>
  </si>
  <si>
    <t>8393 Recliner LHF</t>
  </si>
  <si>
    <t>8393 Recliner RHF</t>
  </si>
  <si>
    <t>5634 Recliner LHF</t>
  </si>
  <si>
    <t>5634 Recliner RHF</t>
  </si>
  <si>
    <t>8333 Recliner LHF</t>
  </si>
  <si>
    <t>8333 Recliner RHF</t>
  </si>
  <si>
    <t>8362 Recliner LHF</t>
  </si>
  <si>
    <t>8362 Recliner RHF</t>
  </si>
  <si>
    <t>8352 Recliner LHF</t>
  </si>
  <si>
    <t>8352 Recliner RHF</t>
  </si>
  <si>
    <t>5802 Recliner LHF</t>
  </si>
  <si>
    <t>5802 Recliner RHF</t>
  </si>
  <si>
    <t>Accessories</t>
  </si>
  <si>
    <t>8382 Recliner LHF</t>
  </si>
  <si>
    <t>5803 Recliner LHF</t>
  </si>
  <si>
    <t>5803 Recliner RHF</t>
  </si>
  <si>
    <t>8382 Recliner RHF</t>
  </si>
  <si>
    <t>Cleveland</t>
  </si>
  <si>
    <t>IC</t>
  </si>
  <si>
    <t>HDW 5181 PWR DLT GLIDER VS LHF</t>
  </si>
  <si>
    <t>HDW 5181 PWR DLT GLIDER VS RHF</t>
  </si>
  <si>
    <t>HDW 4181 GLIDER DELTA VS LHF</t>
  </si>
  <si>
    <t>HDW 4181 GLIDER DELTA VS RHF</t>
  </si>
  <si>
    <t>HDW 5183 PWR DLT GLIDER HS LHF</t>
  </si>
  <si>
    <t>HDW 5183 PWR DLT GLIDER HS RHF</t>
  </si>
  <si>
    <t>HDW 5025 300EZ PWR LO-PRO LHF</t>
  </si>
  <si>
    <t>HDW 5025 300EZ PWR LO-PRO RHF</t>
  </si>
  <si>
    <t>England</t>
  </si>
  <si>
    <t>1632 Recliner LHF</t>
  </si>
  <si>
    <t>1632 Recliner RHF</t>
  </si>
  <si>
    <t>Z001000</t>
  </si>
  <si>
    <t>Sea Freight</t>
  </si>
  <si>
    <t>1009 Recliner LHF</t>
  </si>
  <si>
    <t>1009 Recliner RHF</t>
  </si>
  <si>
    <t>8207210401 - 2072 RECLINER LHF</t>
  </si>
  <si>
    <t>8207220401 - 2072 RECLINER RHF</t>
  </si>
  <si>
    <t>3611 RECLINER LHF</t>
  </si>
  <si>
    <t>3611 RECLINER RHF</t>
  </si>
  <si>
    <t>Extension spring</t>
  </si>
  <si>
    <t>EVO STD FRONT MOTOR TUBE</t>
  </si>
  <si>
    <t>EVO CHELAN REAR MTR TUBE</t>
  </si>
  <si>
    <t>EVO STD Sequence Tube-3</t>
  </si>
  <si>
    <t>Ashley</t>
  </si>
  <si>
    <t xml:space="preserve">WASHER .050X.875 D </t>
  </si>
  <si>
    <t>Home Stretch</t>
  </si>
  <si>
    <t>5152 Recliner LHF</t>
  </si>
  <si>
    <t>5152 Recliner RHF</t>
  </si>
  <si>
    <t>PWR ROCKER ACTIVATOR</t>
  </si>
  <si>
    <t>FRONT MTR TUBE PWR RKR/</t>
  </si>
  <si>
    <t xml:space="preserve"> 10MM PIN</t>
  </si>
  <si>
    <t>1010 Glider LHF Side Assy</t>
  </si>
  <si>
    <t>1010 Glider RHF Side Assy</t>
  </si>
  <si>
    <t>High Point Furniture - 0N64</t>
  </si>
  <si>
    <t>0N64-0003004870</t>
  </si>
  <si>
    <t>SIDE ASSEMBLY LEFT AM</t>
  </si>
  <si>
    <t>SIDE ASSEMBLY RIGHT AM</t>
  </si>
  <si>
    <t>0N64-0003005019</t>
  </si>
  <si>
    <t>0201-0003002704</t>
  </si>
  <si>
    <t>0E25-West Coast</t>
  </si>
  <si>
    <t>0E25-0003001368</t>
  </si>
  <si>
    <t>0E25-0003001378</t>
  </si>
  <si>
    <t>P2XM677</t>
  </si>
  <si>
    <t>SO</t>
  </si>
  <si>
    <t>Unit weight</t>
  </si>
  <si>
    <t>Pcs/pkg</t>
  </si>
  <si>
    <t xml:space="preserve">#pkg </t>
  </si>
  <si>
    <t>Net Weight</t>
  </si>
  <si>
    <t>Gross weight</t>
  </si>
  <si>
    <t xml:space="preserve">Remark </t>
  </si>
  <si>
    <t>Updated loading</t>
  </si>
  <si>
    <t>Pkg dimension</t>
  </si>
  <si>
    <t>CBM</t>
  </si>
  <si>
    <t>Total cbm</t>
  </si>
  <si>
    <t>1470*1135*925</t>
  </si>
  <si>
    <t>470*310*215</t>
  </si>
  <si>
    <t>525*230*140</t>
  </si>
  <si>
    <t>L(mm)</t>
  </si>
  <si>
    <t>W( mm)</t>
  </si>
  <si>
    <t>H(mm)</t>
  </si>
  <si>
    <t>1150*1140*740</t>
  </si>
  <si>
    <t>335*190*170</t>
  </si>
  <si>
    <t>460*280*200</t>
  </si>
  <si>
    <t>560*280*200</t>
  </si>
  <si>
    <t>500*140*110</t>
  </si>
  <si>
    <t>1140*780*840</t>
  </si>
  <si>
    <t>2 items put in 1 pallet</t>
  </si>
  <si>
    <t>8334310104 -HWD P02 Side Assy LHF mid-ottoman</t>
  </si>
  <si>
    <t>8334320104 -HWD P02 Side Assy RHF mid-ottoman</t>
  </si>
  <si>
    <t>5108 Recliner LHF</t>
  </si>
  <si>
    <t>5108 Recliner RHF</t>
  </si>
  <si>
    <t>HDW 6032 PM300+HS SLO W/M O LHF</t>
  </si>
  <si>
    <t>HDW 6032 PM300+HS SLO W/M O RHF</t>
  </si>
  <si>
    <t>HDW 8817 EZP-TW PM V MO S L LHF</t>
  </si>
  <si>
    <t>HDW 8817 EZP-TW PM V MO S L RHF</t>
  </si>
  <si>
    <t>8167110301 - G30 1671 HARDWARE ASSY  L</t>
  </si>
  <si>
    <t>8167120301 - G30 1671 HARDWARE ASSY  R</t>
  </si>
  <si>
    <t>8203210501 - 2032 RECLINER LHF</t>
  </si>
  <si>
    <t>8203220501 - 2032 RECLINER RHF</t>
  </si>
  <si>
    <t>Loading date</t>
  </si>
  <si>
    <t>600*400*350</t>
  </si>
  <si>
    <t>410*260*250</t>
  </si>
  <si>
    <t>PCS/pkg</t>
  </si>
  <si>
    <t>accessories</t>
  </si>
  <si>
    <t>special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</si>
</sst>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(* #,##0.0000_);_(* \(#,##0.0000\);_(* &quot;-&quot;??_);_(@_)"/>
    <numFmt numFmtId="167" formatCode="_(* #,##0.000_);_(* \(#,##0.000\);_(* &quot;-&quot;??_);_(@_)"/>
    <numFmt numFmtId="168" formatCode="_(* #,##0.00000_);_(* \(#,##0.00000\);_(* &quot;-&quot;??_);_(@_)"/>
    <numFmt numFmtId="169" formatCode="_(&quot;$&quot;* #,##0.0000_);_(&quot;$&quot;* \(#,##0.00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9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left" vertical="top"/>
    </xf>
    <xf numFmtId="14" fontId="3" fillId="0" borderId="3" xfId="0" applyNumberFormat="1" applyFont="1" applyBorder="1" applyAlignment="1">
      <alignment horizontal="left" vertical="top"/>
    </xf>
    <xf numFmtId="44" fontId="3" fillId="0" borderId="3" xfId="2" applyFont="1" applyBorder="1" applyAlignment="1">
      <alignment horizontal="left" vertical="top"/>
    </xf>
    <xf numFmtId="44" fontId="3" fillId="0" borderId="3" xfId="2" applyFont="1" applyFill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64" fontId="3" fillId="0" borderId="3" xfId="1" applyNumberFormat="1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14" fontId="3" fillId="0" borderId="4" xfId="0" applyNumberFormat="1" applyFont="1" applyBorder="1" applyAlignment="1">
      <alignment horizontal="left" vertical="top"/>
    </xf>
    <xf numFmtId="164" fontId="3" fillId="0" borderId="4" xfId="1" applyNumberFormat="1" applyFont="1" applyFill="1" applyBorder="1" applyAlignment="1">
      <alignment horizontal="right" vertical="top"/>
    </xf>
    <xf numFmtId="0" fontId="3" fillId="0" borderId="1" xfId="0" applyFont="1" applyBorder="1" applyAlignment="1">
      <alignment horizontal="left" vertical="top"/>
    </xf>
    <xf numFmtId="44" fontId="3" fillId="0" borderId="4" xfId="2" applyFont="1" applyFill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14" fontId="3" fillId="4" borderId="3" xfId="0" applyNumberFormat="1" applyFont="1" applyFill="1" applyBorder="1" applyAlignment="1">
      <alignment horizontal="left" vertical="top"/>
    </xf>
    <xf numFmtId="14" fontId="3" fillId="4" borderId="4" xfId="0" applyNumberFormat="1" applyFont="1" applyFill="1" applyBorder="1" applyAlignment="1">
      <alignment horizontal="left" vertical="top"/>
    </xf>
    <xf numFmtId="0" fontId="0" fillId="0" borderId="3" xfId="0" applyBorder="1"/>
    <xf numFmtId="14" fontId="0" fillId="0" borderId="0" xfId="0" applyNumberFormat="1" applyAlignment="1">
      <alignment horizontal="left"/>
    </xf>
    <xf numFmtId="164" fontId="0" fillId="0" borderId="0" xfId="1" applyNumberFormat="1" applyFont="1" applyAlignment="1">
      <alignment horizontal="left"/>
    </xf>
    <xf numFmtId="44" fontId="0" fillId="0" borderId="0" xfId="2" applyFont="1" applyAlignment="1">
      <alignment horizontal="left"/>
    </xf>
    <xf numFmtId="0" fontId="4" fillId="0" borderId="3" xfId="0" applyFont="1" applyBorder="1" applyAlignment="1">
      <alignment horizontal="left" vertical="top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14" fontId="2" fillId="2" borderId="3" xfId="0" applyNumberFormat="1" applyFont="1" applyFill="1" applyBorder="1" applyAlignment="1">
      <alignment horizontal="center" vertical="center" wrapText="1"/>
    </xf>
    <xf numFmtId="164" fontId="2" fillId="2" borderId="3" xfId="1" applyNumberFormat="1" applyFont="1" applyFill="1" applyBorder="1" applyAlignment="1">
      <alignment horizontal="center" vertical="center" wrapText="1"/>
    </xf>
    <xf numFmtId="44" fontId="2" fillId="2" borderId="3" xfId="2" applyFont="1" applyFill="1" applyBorder="1" applyAlignment="1">
      <alignment horizontal="center" vertical="center" wrapText="1"/>
    </xf>
    <xf numFmtId="165" fontId="3" fillId="0" borderId="3" xfId="1" applyNumberFormat="1" applyFont="1" applyFill="1" applyBorder="1" applyAlignment="1">
      <alignment horizontal="right" vertical="top"/>
    </xf>
    <xf numFmtId="166" fontId="3" fillId="0" borderId="3" xfId="1" applyNumberFormat="1" applyFont="1" applyFill="1" applyBorder="1" applyAlignment="1">
      <alignment horizontal="right" vertical="top"/>
    </xf>
    <xf numFmtId="166" fontId="3" fillId="0" borderId="4" xfId="1" applyNumberFormat="1" applyFont="1" applyFill="1" applyBorder="1" applyAlignment="1">
      <alignment horizontal="right" vertical="top"/>
    </xf>
    <xf numFmtId="0" fontId="3" fillId="6" borderId="3" xfId="0" applyFont="1" applyFill="1" applyBorder="1" applyAlignment="1">
      <alignment horizontal="left" vertical="top"/>
    </xf>
    <xf numFmtId="0" fontId="3" fillId="6" borderId="5" xfId="0" applyFont="1" applyFill="1" applyBorder="1" applyAlignment="1">
      <alignment horizontal="left" vertical="top"/>
    </xf>
    <xf numFmtId="14" fontId="3" fillId="6" borderId="4" xfId="0" applyNumberFormat="1" applyFont="1" applyFill="1" applyBorder="1" applyAlignment="1">
      <alignment horizontal="left" vertical="top"/>
    </xf>
    <xf numFmtId="164" fontId="3" fillId="6" borderId="3" xfId="1" applyNumberFormat="1" applyFont="1" applyFill="1" applyBorder="1" applyAlignment="1">
      <alignment horizontal="right" vertical="top"/>
    </xf>
    <xf numFmtId="44" fontId="3" fillId="6" borderId="3" xfId="2" applyFont="1" applyFill="1" applyBorder="1" applyAlignment="1">
      <alignment horizontal="left" vertical="top"/>
    </xf>
    <xf numFmtId="0" fontId="0" fillId="6" borderId="3" xfId="0" applyFill="1" applyBorder="1" applyAlignment="1">
      <alignment horizontal="left" vertical="top"/>
    </xf>
    <xf numFmtId="0" fontId="0" fillId="6" borderId="0" xfId="0" applyFill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0" fontId="3" fillId="3" borderId="1" xfId="0" applyFont="1" applyFill="1" applyBorder="1"/>
    <xf numFmtId="0" fontId="0" fillId="3" borderId="1" xfId="0" applyFill="1" applyBorder="1" applyAlignment="1">
      <alignment horizontal="left" vertical="center"/>
    </xf>
    <xf numFmtId="0" fontId="3" fillId="3" borderId="3" xfId="0" applyFont="1" applyFill="1" applyBorder="1"/>
    <xf numFmtId="0" fontId="5" fillId="0" borderId="3" xfId="0" applyFont="1" applyBorder="1" applyAlignment="1">
      <alignment horizontal="center" vertical="center"/>
    </xf>
    <xf numFmtId="43" fontId="0" fillId="3" borderId="1" xfId="0" applyNumberForma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0" fontId="0" fillId="7" borderId="4" xfId="0" applyFill="1" applyBorder="1" applyAlignment="1">
      <alignment horizontal="center"/>
    </xf>
    <xf numFmtId="166" fontId="0" fillId="3" borderId="1" xfId="0" applyNumberFormat="1" applyFill="1" applyBorder="1" applyAlignment="1">
      <alignment horizontal="left" vertical="center"/>
    </xf>
    <xf numFmtId="166" fontId="3" fillId="6" borderId="3" xfId="1" applyNumberFormat="1" applyFont="1" applyFill="1" applyBorder="1" applyAlignment="1">
      <alignment horizontal="right" vertical="top"/>
    </xf>
    <xf numFmtId="0" fontId="3" fillId="5" borderId="3" xfId="0" applyFont="1" applyFill="1" applyBorder="1" applyAlignment="1">
      <alignment horizontal="left" vertical="top"/>
    </xf>
    <xf numFmtId="0" fontId="4" fillId="5" borderId="3" xfId="0" applyFont="1" applyFill="1" applyBorder="1" applyAlignment="1">
      <alignment horizontal="left" vertical="top"/>
    </xf>
    <xf numFmtId="0" fontId="3" fillId="5" borderId="4" xfId="0" applyFont="1" applyFill="1" applyBorder="1" applyAlignment="1">
      <alignment horizontal="left" vertical="top"/>
    </xf>
    <xf numFmtId="167" fontId="3" fillId="0" borderId="3" xfId="1" applyNumberFormat="1" applyFont="1" applyFill="1" applyBorder="1" applyAlignment="1">
      <alignment horizontal="right" vertical="top"/>
    </xf>
    <xf numFmtId="167" fontId="2" fillId="2" borderId="3" xfId="1" applyNumberFormat="1" applyFont="1" applyFill="1" applyBorder="1" applyAlignment="1">
      <alignment horizontal="center" vertical="center" wrapText="1"/>
    </xf>
    <xf numFmtId="167" fontId="3" fillId="6" borderId="3" xfId="1" applyNumberFormat="1" applyFont="1" applyFill="1" applyBorder="1" applyAlignment="1">
      <alignment horizontal="right" vertical="top"/>
    </xf>
    <xf numFmtId="167" fontId="3" fillId="0" borderId="4" xfId="1" applyNumberFormat="1" applyFont="1" applyFill="1" applyBorder="1" applyAlignment="1">
      <alignment horizontal="right" vertical="top"/>
    </xf>
    <xf numFmtId="167" fontId="0" fillId="3" borderId="1" xfId="0" applyNumberFormat="1" applyFill="1" applyBorder="1" applyAlignment="1">
      <alignment horizontal="center"/>
    </xf>
    <xf numFmtId="167" fontId="0" fillId="3" borderId="3" xfId="0" applyNumberFormat="1" applyFill="1" applyBorder="1" applyAlignment="1">
      <alignment horizontal="center"/>
    </xf>
    <xf numFmtId="167" fontId="0" fillId="0" borderId="0" xfId="1" applyNumberFormat="1" applyFont="1" applyAlignment="1">
      <alignment horizontal="left"/>
    </xf>
    <xf numFmtId="4" fontId="0" fillId="0" borderId="2" xfId="0" applyNumberFormat="1" applyBorder="1"/>
    <xf numFmtId="44" fontId="0" fillId="0" borderId="2" xfId="0" applyNumberFormat="1" applyBorder="1"/>
    <xf numFmtId="168" fontId="0" fillId="3" borderId="1" xfId="0" applyNumberFormat="1" applyFill="1" applyBorder="1" applyAlignment="1">
      <alignment horizontal="left" vertical="center"/>
    </xf>
    <xf numFmtId="164" fontId="3" fillId="3" borderId="1" xfId="1" applyNumberFormat="1" applyFont="1" applyFill="1" applyBorder="1" applyAlignment="1">
      <alignment horizontal="right" vertical="top"/>
    </xf>
    <xf numFmtId="164" fontId="3" fillId="0" borderId="3" xfId="1" applyNumberFormat="1" applyFont="1" applyFill="1" applyBorder="1" applyAlignment="1">
      <alignment horizontal="centerContinuous" vertical="center" wrapText="1"/>
    </xf>
    <xf numFmtId="169" fontId="3" fillId="0" borderId="3" xfId="2" applyNumberFormat="1" applyFont="1" applyFill="1" applyBorder="1" applyAlignment="1">
      <alignment horizontal="left" vertical="top"/>
    </xf>
    <xf numFmtId="164" fontId="3" fillId="0" borderId="3" xfId="1" applyNumberFormat="1" applyFont="1" applyFill="1" applyBorder="1" applyAlignment="1">
      <alignment vertical="top"/>
    </xf>
    <xf numFmtId="0" fontId="0" fillId="3" borderId="1" xfId="0" applyFill="1" applyBorder="1"/>
    <xf numFmtId="0" fontId="0" fillId="3" borderId="3" xfId="0" applyFill="1" applyBorder="1"/>
    <xf numFmtId="164" fontId="0" fillId="0" borderId="0" xfId="1" applyNumberFormat="1" applyFont="1" applyBorder="1" applyAlignment="1">
      <alignment horizontal="left"/>
    </xf>
    <xf numFmtId="0" fontId="3" fillId="0" borderId="0" xfId="0" applyFont="1" applyAlignment="1">
      <alignment horizontal="right" vertical="top"/>
    </xf>
    <xf numFmtId="14" fontId="3" fillId="0" borderId="0" xfId="0" applyNumberFormat="1" applyFont="1" applyAlignment="1">
      <alignment horizontal="right" vertical="top"/>
    </xf>
    <xf numFmtId="164" fontId="3" fillId="0" borderId="0" xfId="1" applyNumberFormat="1" applyFont="1" applyFill="1" applyBorder="1" applyAlignment="1">
      <alignment horizontal="righ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right"/>
    </xf>
    <xf numFmtId="0" fontId="3" fillId="0" borderId="0" xfId="0" applyFont="1" applyAlignment="1">
      <alignment horizontal="center"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FCA6-F47F-4C23-85BA-115E34C07973}">
  <dimension ref="A1:G95"/>
  <sheetViews>
    <sheetView tabSelected="1" topLeftCell="A70" zoomScaleNormal="100" workbookViewId="0">
      <selection activeCell="G106" sqref="G106"/>
    </sheetView>
  </sheetViews>
  <sheetFormatPr defaultColWidth="8.7109375" defaultRowHeight="15" x14ac:dyDescent="0.25"/>
  <cols>
    <col min="1" max="1" width="16.28515625" style="8" bestFit="1" customWidth="1"/>
    <col min="2" max="2" width="11" style="8" bestFit="1" customWidth="1"/>
    <col min="3" max="3" width="15.140625" style="8" bestFit="1" customWidth="1"/>
    <col min="4" max="4" width="12.28515625" style="19" bestFit="1" customWidth="1"/>
    <col min="5" max="5" width="7" style="20" bestFit="1" customWidth="1"/>
    <col min="6" max="6" width="9.7109375" style="20" bestFit="1" customWidth="1"/>
    <col min="7" max="16384" width="8.7109375" style="8"/>
  </cols>
  <sheetData>
    <row r="1" spans="1:7" x14ac:dyDescent="0.25">
      <c r="A1" s="8" t="s">
        <v>2</v>
      </c>
      <c r="B1" s="8" t="s">
        <v>91</v>
      </c>
      <c r="C1" s="8" t="s">
        <v>3</v>
      </c>
      <c r="D1" s="19" t="s">
        <v>127</v>
      </c>
      <c r="E1" s="71" t="s">
        <v>7</v>
      </c>
      <c r="F1" s="71" t="s">
        <v>130</v>
      </c>
      <c r="G1" s="77" t="s">
        <v>4</v>
      </c>
    </row>
    <row r="2" spans="1:7" x14ac:dyDescent="0.25">
      <c r="A2" s="72" t="s">
        <v>82</v>
      </c>
      <c r="B2" s="72">
        <v>2610000099</v>
      </c>
      <c r="C2" s="72">
        <v>1220190004</v>
      </c>
      <c r="D2" s="73">
        <v>46282</v>
      </c>
      <c r="E2" s="74">
        <v>4400</v>
      </c>
      <c r="F2" s="74">
        <v>200</v>
      </c>
      <c r="G2" s="75" t="s">
        <v>132</v>
      </c>
    </row>
    <row r="3" spans="1:7" x14ac:dyDescent="0.25">
      <c r="A3" s="72" t="s">
        <v>82</v>
      </c>
      <c r="B3" s="72">
        <v>2610000099</v>
      </c>
      <c r="C3" s="72">
        <v>1220200004</v>
      </c>
      <c r="D3" s="73">
        <v>46282</v>
      </c>
      <c r="E3" s="74">
        <v>4400</v>
      </c>
      <c r="F3" s="74">
        <v>200</v>
      </c>
      <c r="G3" s="75" t="s">
        <v>132</v>
      </c>
    </row>
    <row r="4" spans="1:7" x14ac:dyDescent="0.25">
      <c r="A4" s="72">
        <v>64853</v>
      </c>
      <c r="B4" s="72">
        <v>2610000112</v>
      </c>
      <c r="C4" s="72">
        <v>8515210204</v>
      </c>
      <c r="D4" s="73">
        <v>46279</v>
      </c>
      <c r="E4" s="74">
        <v>1750</v>
      </c>
      <c r="F4" s="76">
        <v>70</v>
      </c>
    </row>
    <row r="5" spans="1:7" x14ac:dyDescent="0.25">
      <c r="A5" s="72">
        <v>64853</v>
      </c>
      <c r="B5" s="72">
        <v>2610000112</v>
      </c>
      <c r="C5" s="72">
        <v>8515220204</v>
      </c>
      <c r="D5" s="73">
        <v>46279</v>
      </c>
      <c r="E5" s="74">
        <v>1750</v>
      </c>
      <c r="F5" s="76">
        <v>70</v>
      </c>
    </row>
    <row r="6" spans="1:7" x14ac:dyDescent="0.25">
      <c r="A6" s="72">
        <v>64853</v>
      </c>
      <c r="B6" s="72">
        <v>2610000112</v>
      </c>
      <c r="C6" s="72">
        <v>1325730001</v>
      </c>
      <c r="D6" s="73">
        <v>46279</v>
      </c>
      <c r="E6" s="74">
        <v>1750</v>
      </c>
      <c r="F6" s="76">
        <v>25</v>
      </c>
      <c r="G6" s="75" t="s">
        <v>131</v>
      </c>
    </row>
    <row r="7" spans="1:7" x14ac:dyDescent="0.25">
      <c r="A7" s="72">
        <v>64853</v>
      </c>
      <c r="B7" s="72">
        <v>2610000112</v>
      </c>
      <c r="C7" s="72">
        <v>1326830101</v>
      </c>
      <c r="D7" s="73">
        <v>46279</v>
      </c>
      <c r="E7" s="74">
        <v>1750</v>
      </c>
      <c r="F7" s="76">
        <v>25</v>
      </c>
      <c r="G7" s="75" t="s">
        <v>131</v>
      </c>
    </row>
    <row r="8" spans="1:7" x14ac:dyDescent="0.25">
      <c r="A8" s="72">
        <v>93957</v>
      </c>
      <c r="B8" s="72">
        <v>2610000145</v>
      </c>
      <c r="C8" s="72">
        <v>8869510104</v>
      </c>
      <c r="D8" s="73">
        <v>46277</v>
      </c>
      <c r="E8" s="74">
        <v>1508</v>
      </c>
      <c r="F8" s="76">
        <v>52</v>
      </c>
    </row>
    <row r="9" spans="1:7" x14ac:dyDescent="0.25">
      <c r="A9" s="72">
        <v>93957</v>
      </c>
      <c r="B9" s="72">
        <v>2610000145</v>
      </c>
      <c r="C9" s="72">
        <v>8869520104</v>
      </c>
      <c r="D9" s="73">
        <v>46277</v>
      </c>
      <c r="E9" s="74">
        <v>1508</v>
      </c>
      <c r="F9" s="76">
        <v>52</v>
      </c>
    </row>
    <row r="10" spans="1:7" x14ac:dyDescent="0.25">
      <c r="A10" s="72">
        <v>93957</v>
      </c>
      <c r="B10" s="72">
        <v>2610000145</v>
      </c>
      <c r="C10" s="72">
        <v>1455350001</v>
      </c>
      <c r="D10" s="73">
        <v>46277</v>
      </c>
      <c r="E10" s="74">
        <v>1700</v>
      </c>
      <c r="F10" s="76">
        <v>50</v>
      </c>
      <c r="G10" s="75" t="s">
        <v>131</v>
      </c>
    </row>
    <row r="11" spans="1:7" x14ac:dyDescent="0.25">
      <c r="A11" s="72">
        <v>93957</v>
      </c>
      <c r="B11" s="72">
        <v>2610000145</v>
      </c>
      <c r="C11" s="72">
        <v>1455360001</v>
      </c>
      <c r="D11" s="73">
        <v>46277</v>
      </c>
      <c r="E11" s="74">
        <v>1700</v>
      </c>
      <c r="F11" s="76">
        <v>50</v>
      </c>
      <c r="G11" s="75" t="s">
        <v>131</v>
      </c>
    </row>
    <row r="12" spans="1:7" x14ac:dyDescent="0.25">
      <c r="A12" s="72">
        <v>93958</v>
      </c>
      <c r="B12" s="72">
        <v>2610000146</v>
      </c>
      <c r="C12" s="72">
        <v>8869510104</v>
      </c>
      <c r="D12" s="73">
        <v>46277</v>
      </c>
      <c r="E12" s="74">
        <v>1508</v>
      </c>
      <c r="F12" s="74">
        <v>52</v>
      </c>
    </row>
    <row r="13" spans="1:7" x14ac:dyDescent="0.25">
      <c r="A13" s="72">
        <v>93958</v>
      </c>
      <c r="B13" s="72">
        <v>2610000146</v>
      </c>
      <c r="C13" s="72">
        <v>8869520104</v>
      </c>
      <c r="D13" s="73">
        <v>46277</v>
      </c>
      <c r="E13" s="74">
        <v>1508</v>
      </c>
      <c r="F13" s="74">
        <v>52</v>
      </c>
    </row>
    <row r="14" spans="1:7" x14ac:dyDescent="0.25">
      <c r="A14" s="72">
        <v>93958</v>
      </c>
      <c r="B14" s="72">
        <v>2610000146</v>
      </c>
      <c r="C14" s="72">
        <v>1455350001</v>
      </c>
      <c r="D14" s="73">
        <v>46277</v>
      </c>
      <c r="E14" s="74">
        <v>1700</v>
      </c>
      <c r="F14" s="74">
        <v>50</v>
      </c>
      <c r="G14" s="75" t="s">
        <v>131</v>
      </c>
    </row>
    <row r="15" spans="1:7" x14ac:dyDescent="0.25">
      <c r="A15" s="72">
        <v>93958</v>
      </c>
      <c r="B15" s="72">
        <v>2610000146</v>
      </c>
      <c r="C15" s="72">
        <v>1455360001</v>
      </c>
      <c r="D15" s="73">
        <v>46277</v>
      </c>
      <c r="E15" s="74">
        <v>1700</v>
      </c>
      <c r="F15" s="74">
        <v>50</v>
      </c>
      <c r="G15" s="75" t="s">
        <v>131</v>
      </c>
    </row>
    <row r="16" spans="1:7" x14ac:dyDescent="0.25">
      <c r="A16" s="72">
        <v>93985</v>
      </c>
      <c r="B16" s="72">
        <v>2610000144</v>
      </c>
      <c r="C16" s="72">
        <v>8517110004</v>
      </c>
      <c r="D16" s="73">
        <v>46277</v>
      </c>
      <c r="E16" s="74">
        <v>1760</v>
      </c>
      <c r="F16" s="76">
        <v>80</v>
      </c>
    </row>
    <row r="17" spans="1:7" x14ac:dyDescent="0.25">
      <c r="A17" s="72">
        <v>93985</v>
      </c>
      <c r="B17" s="72">
        <v>2610000144</v>
      </c>
      <c r="C17" s="72">
        <v>8517120004</v>
      </c>
      <c r="D17" s="73">
        <v>46277</v>
      </c>
      <c r="E17" s="74">
        <v>1760</v>
      </c>
      <c r="F17" s="76">
        <v>80</v>
      </c>
    </row>
    <row r="18" spans="1:7" x14ac:dyDescent="0.25">
      <c r="A18" s="72">
        <v>93985</v>
      </c>
      <c r="B18" s="72">
        <v>2610000144</v>
      </c>
      <c r="C18" s="72">
        <v>8517110004</v>
      </c>
      <c r="D18" s="73">
        <v>46277</v>
      </c>
      <c r="E18" s="74">
        <v>40</v>
      </c>
      <c r="F18" s="76">
        <v>40</v>
      </c>
    </row>
    <row r="19" spans="1:7" x14ac:dyDescent="0.25">
      <c r="A19" s="72">
        <v>93985</v>
      </c>
      <c r="B19" s="72">
        <v>2610000144</v>
      </c>
      <c r="C19" s="72">
        <v>8517120004</v>
      </c>
      <c r="D19" s="73">
        <v>46277</v>
      </c>
      <c r="E19" s="74">
        <v>40</v>
      </c>
      <c r="F19" s="76">
        <v>40</v>
      </c>
    </row>
    <row r="20" spans="1:7" x14ac:dyDescent="0.25">
      <c r="A20" s="72">
        <v>93985</v>
      </c>
      <c r="B20" s="72">
        <v>2610000144</v>
      </c>
      <c r="C20" s="72">
        <v>1325730001</v>
      </c>
      <c r="D20" s="73">
        <v>46277</v>
      </c>
      <c r="E20" s="74">
        <v>1100</v>
      </c>
      <c r="F20" s="76">
        <v>25</v>
      </c>
      <c r="G20" s="75" t="s">
        <v>131</v>
      </c>
    </row>
    <row r="21" spans="1:7" x14ac:dyDescent="0.25">
      <c r="A21" s="72">
        <v>93985</v>
      </c>
      <c r="B21" s="72">
        <v>2610000144</v>
      </c>
      <c r="C21" s="72">
        <v>1326830101</v>
      </c>
      <c r="D21" s="73">
        <v>46277</v>
      </c>
      <c r="E21" s="74">
        <v>1150</v>
      </c>
      <c r="F21" s="76">
        <v>25</v>
      </c>
      <c r="G21" s="75" t="s">
        <v>131</v>
      </c>
    </row>
    <row r="22" spans="1:7" x14ac:dyDescent="0.25">
      <c r="A22" s="72" t="s">
        <v>88</v>
      </c>
      <c r="B22" s="72">
        <v>2610000133</v>
      </c>
      <c r="C22" s="72">
        <v>8101010104</v>
      </c>
      <c r="D22" s="73">
        <v>46279</v>
      </c>
      <c r="E22" s="74">
        <v>250</v>
      </c>
      <c r="F22" s="76">
        <v>250</v>
      </c>
    </row>
    <row r="23" spans="1:7" x14ac:dyDescent="0.25">
      <c r="A23" s="72" t="s">
        <v>88</v>
      </c>
      <c r="B23" s="72">
        <v>2610000133</v>
      </c>
      <c r="C23" s="72">
        <v>8101020104</v>
      </c>
      <c r="D23" s="73">
        <v>46279</v>
      </c>
      <c r="E23" s="74">
        <v>250</v>
      </c>
      <c r="F23" s="76">
        <v>250</v>
      </c>
    </row>
    <row r="24" spans="1:7" x14ac:dyDescent="0.25">
      <c r="A24" s="72" t="s">
        <v>88</v>
      </c>
      <c r="B24" s="72">
        <v>2610000133</v>
      </c>
      <c r="C24" s="72">
        <v>8163210604</v>
      </c>
      <c r="D24" s="73">
        <v>46279</v>
      </c>
      <c r="E24" s="74">
        <v>270</v>
      </c>
      <c r="F24" s="76">
        <v>90</v>
      </c>
    </row>
    <row r="25" spans="1:7" x14ac:dyDescent="0.25">
      <c r="A25" s="72" t="s">
        <v>88</v>
      </c>
      <c r="B25" s="72">
        <v>2610000133</v>
      </c>
      <c r="C25" s="72">
        <v>8163220604</v>
      </c>
      <c r="D25" s="73">
        <v>46279</v>
      </c>
      <c r="E25" s="74">
        <v>270</v>
      </c>
      <c r="F25" s="76">
        <v>90</v>
      </c>
    </row>
    <row r="26" spans="1:7" x14ac:dyDescent="0.25">
      <c r="A26" s="72" t="s">
        <v>88</v>
      </c>
      <c r="B26" s="72">
        <v>2610000133</v>
      </c>
      <c r="C26" s="72">
        <v>8167110304</v>
      </c>
      <c r="D26" s="73">
        <v>46279</v>
      </c>
      <c r="E26" s="74">
        <v>140</v>
      </c>
      <c r="F26" s="76">
        <v>70</v>
      </c>
    </row>
    <row r="27" spans="1:7" x14ac:dyDescent="0.25">
      <c r="A27" s="72" t="s">
        <v>88</v>
      </c>
      <c r="B27" s="72">
        <v>2610000133</v>
      </c>
      <c r="C27" s="72">
        <v>8167120304</v>
      </c>
      <c r="D27" s="73">
        <v>46279</v>
      </c>
      <c r="E27" s="74">
        <v>140</v>
      </c>
      <c r="F27" s="76">
        <v>70</v>
      </c>
    </row>
    <row r="28" spans="1:7" x14ac:dyDescent="0.25">
      <c r="A28" s="72" t="s">
        <v>88</v>
      </c>
      <c r="B28" s="72">
        <v>2610000133</v>
      </c>
      <c r="C28" s="72">
        <v>8203210504</v>
      </c>
      <c r="D28" s="73">
        <v>46279</v>
      </c>
      <c r="E28" s="74">
        <v>510</v>
      </c>
      <c r="F28" s="76">
        <v>85</v>
      </c>
    </row>
    <row r="29" spans="1:7" x14ac:dyDescent="0.25">
      <c r="A29" s="72" t="s">
        <v>88</v>
      </c>
      <c r="B29" s="72">
        <v>2610000133</v>
      </c>
      <c r="C29" s="72">
        <v>8203220504</v>
      </c>
      <c r="D29" s="73">
        <v>46279</v>
      </c>
      <c r="E29" s="74">
        <v>510</v>
      </c>
      <c r="F29" s="76">
        <v>85</v>
      </c>
    </row>
    <row r="30" spans="1:7" x14ac:dyDescent="0.25">
      <c r="A30" s="72" t="s">
        <v>88</v>
      </c>
      <c r="B30" s="72">
        <v>2610000133</v>
      </c>
      <c r="C30" s="72">
        <v>8207210404</v>
      </c>
      <c r="D30" s="73">
        <v>46279</v>
      </c>
      <c r="E30" s="74">
        <v>70</v>
      </c>
      <c r="F30" s="76">
        <v>70</v>
      </c>
    </row>
    <row r="31" spans="1:7" x14ac:dyDescent="0.25">
      <c r="A31" s="72" t="s">
        <v>88</v>
      </c>
      <c r="B31" s="72">
        <v>2610000133</v>
      </c>
      <c r="C31" s="72">
        <v>8207220404</v>
      </c>
      <c r="D31" s="73">
        <v>46279</v>
      </c>
      <c r="E31" s="74">
        <v>70</v>
      </c>
      <c r="F31" s="76">
        <v>70</v>
      </c>
    </row>
    <row r="32" spans="1:7" x14ac:dyDescent="0.25">
      <c r="A32" s="72" t="s">
        <v>88</v>
      </c>
      <c r="B32" s="72">
        <v>2610000133</v>
      </c>
      <c r="C32" s="72">
        <v>8418110204</v>
      </c>
      <c r="D32" s="73">
        <v>46279</v>
      </c>
      <c r="E32" s="74">
        <v>65</v>
      </c>
      <c r="F32" s="76">
        <v>65</v>
      </c>
    </row>
    <row r="33" spans="1:7" x14ac:dyDescent="0.25">
      <c r="A33" s="72" t="s">
        <v>88</v>
      </c>
      <c r="B33" s="72">
        <v>2610000133</v>
      </c>
      <c r="C33" s="72">
        <v>8418120204</v>
      </c>
      <c r="D33" s="73">
        <v>46279</v>
      </c>
      <c r="E33" s="74">
        <v>65</v>
      </c>
      <c r="F33" s="76">
        <v>65</v>
      </c>
    </row>
    <row r="34" spans="1:7" x14ac:dyDescent="0.25">
      <c r="A34" s="72" t="s">
        <v>88</v>
      </c>
      <c r="B34" s="72">
        <v>2610000133</v>
      </c>
      <c r="C34" s="72">
        <v>8518110104</v>
      </c>
      <c r="D34" s="73">
        <v>46279</v>
      </c>
      <c r="E34" s="74">
        <v>110</v>
      </c>
      <c r="F34" s="76">
        <v>55</v>
      </c>
    </row>
    <row r="35" spans="1:7" x14ac:dyDescent="0.25">
      <c r="A35" s="72" t="s">
        <v>88</v>
      </c>
      <c r="B35" s="72">
        <v>2610000133</v>
      </c>
      <c r="C35" s="72">
        <v>8518120104</v>
      </c>
      <c r="D35" s="73">
        <v>46279</v>
      </c>
      <c r="E35" s="74">
        <v>110</v>
      </c>
      <c r="F35" s="76">
        <v>55</v>
      </c>
    </row>
    <row r="36" spans="1:7" x14ac:dyDescent="0.25">
      <c r="A36" s="72" t="s">
        <v>89</v>
      </c>
      <c r="B36" s="72">
        <v>2610000134</v>
      </c>
      <c r="C36" s="72">
        <v>1220190004</v>
      </c>
      <c r="D36" s="73">
        <v>46279</v>
      </c>
      <c r="E36" s="74">
        <v>1600</v>
      </c>
      <c r="F36" s="76">
        <v>200</v>
      </c>
      <c r="G36" s="75" t="s">
        <v>132</v>
      </c>
    </row>
    <row r="37" spans="1:7" x14ac:dyDescent="0.25">
      <c r="A37" s="72" t="s">
        <v>89</v>
      </c>
      <c r="B37" s="72">
        <v>2610000134</v>
      </c>
      <c r="C37" s="72">
        <v>1220200004</v>
      </c>
      <c r="D37" s="73">
        <v>46279</v>
      </c>
      <c r="E37" s="74">
        <v>1600</v>
      </c>
      <c r="F37" s="76">
        <v>200</v>
      </c>
      <c r="G37" s="75" t="s">
        <v>132</v>
      </c>
    </row>
    <row r="38" spans="1:7" x14ac:dyDescent="0.25">
      <c r="A38" s="72" t="s">
        <v>86</v>
      </c>
      <c r="B38" s="72">
        <v>2610000126</v>
      </c>
      <c r="C38" s="72">
        <v>8334310104</v>
      </c>
      <c r="D38" s="73">
        <v>46283</v>
      </c>
      <c r="E38" s="74">
        <v>40</v>
      </c>
      <c r="F38" s="74">
        <v>40</v>
      </c>
    </row>
    <row r="39" spans="1:7" x14ac:dyDescent="0.25">
      <c r="A39" s="72" t="s">
        <v>86</v>
      </c>
      <c r="B39" s="72">
        <v>2610000126</v>
      </c>
      <c r="C39" s="72">
        <v>8334320104</v>
      </c>
      <c r="D39" s="73">
        <v>46283</v>
      </c>
      <c r="E39" s="74">
        <v>40</v>
      </c>
      <c r="F39" s="74">
        <v>40</v>
      </c>
    </row>
    <row r="40" spans="1:7" x14ac:dyDescent="0.25">
      <c r="A40" s="72" t="s">
        <v>86</v>
      </c>
      <c r="B40" s="72">
        <v>2610000126</v>
      </c>
      <c r="C40" s="72">
        <v>8502510204</v>
      </c>
      <c r="D40" s="73">
        <v>46283</v>
      </c>
      <c r="E40" s="74">
        <v>378</v>
      </c>
      <c r="F40" s="74">
        <v>54</v>
      </c>
    </row>
    <row r="41" spans="1:7" x14ac:dyDescent="0.25">
      <c r="A41" s="72" t="s">
        <v>86</v>
      </c>
      <c r="B41" s="72">
        <v>2610000126</v>
      </c>
      <c r="C41" s="72">
        <v>8502520204</v>
      </c>
      <c r="D41" s="73">
        <v>46283</v>
      </c>
      <c r="E41" s="74">
        <v>378</v>
      </c>
      <c r="F41" s="74">
        <v>54</v>
      </c>
    </row>
    <row r="42" spans="1:7" x14ac:dyDescent="0.25">
      <c r="A42" s="72" t="s">
        <v>86</v>
      </c>
      <c r="B42" s="72">
        <v>2610000126</v>
      </c>
      <c r="C42" s="72">
        <v>8510810304</v>
      </c>
      <c r="D42" s="73">
        <v>46283</v>
      </c>
      <c r="E42" s="74">
        <v>448</v>
      </c>
      <c r="F42" s="74">
        <v>56</v>
      </c>
    </row>
    <row r="43" spans="1:7" x14ac:dyDescent="0.25">
      <c r="A43" s="72" t="s">
        <v>86</v>
      </c>
      <c r="B43" s="72">
        <v>2610000126</v>
      </c>
      <c r="C43" s="72">
        <v>8510820304</v>
      </c>
      <c r="D43" s="73">
        <v>46283</v>
      </c>
      <c r="E43" s="74">
        <v>448</v>
      </c>
      <c r="F43" s="74">
        <v>56</v>
      </c>
    </row>
    <row r="44" spans="1:7" x14ac:dyDescent="0.25">
      <c r="A44" s="72" t="s">
        <v>86</v>
      </c>
      <c r="B44" s="72">
        <v>2610000126</v>
      </c>
      <c r="C44" s="72">
        <v>8518310204</v>
      </c>
      <c r="D44" s="73">
        <v>46283</v>
      </c>
      <c r="E44" s="74">
        <v>275</v>
      </c>
      <c r="F44" s="74">
        <v>55</v>
      </c>
    </row>
    <row r="45" spans="1:7" x14ac:dyDescent="0.25">
      <c r="A45" s="72" t="s">
        <v>86</v>
      </c>
      <c r="B45" s="72">
        <v>2610000126</v>
      </c>
      <c r="C45" s="72">
        <v>8518320204</v>
      </c>
      <c r="D45" s="73">
        <v>46283</v>
      </c>
      <c r="E45" s="74">
        <v>275</v>
      </c>
      <c r="F45" s="74">
        <v>55</v>
      </c>
    </row>
    <row r="46" spans="1:7" x14ac:dyDescent="0.25">
      <c r="A46" s="72" t="s">
        <v>86</v>
      </c>
      <c r="B46" s="72">
        <v>2610000126</v>
      </c>
      <c r="C46" s="72">
        <v>8603210204</v>
      </c>
      <c r="D46" s="73">
        <v>46283</v>
      </c>
      <c r="E46" s="74">
        <v>56</v>
      </c>
      <c r="F46" s="74">
        <v>56</v>
      </c>
    </row>
    <row r="47" spans="1:7" x14ac:dyDescent="0.25">
      <c r="A47" s="72" t="s">
        <v>86</v>
      </c>
      <c r="B47" s="72">
        <v>2610000126</v>
      </c>
      <c r="C47" s="72">
        <v>8603220204</v>
      </c>
      <c r="D47" s="73">
        <v>46283</v>
      </c>
      <c r="E47" s="74">
        <v>56</v>
      </c>
      <c r="F47" s="74">
        <v>56</v>
      </c>
    </row>
    <row r="48" spans="1:7" x14ac:dyDescent="0.25">
      <c r="A48" s="72" t="s">
        <v>86</v>
      </c>
      <c r="B48" s="72">
        <v>2610000126</v>
      </c>
      <c r="C48" s="72">
        <v>8881710004</v>
      </c>
      <c r="D48" s="73">
        <v>46283</v>
      </c>
      <c r="E48" s="74">
        <v>224</v>
      </c>
      <c r="F48" s="74">
        <v>56</v>
      </c>
    </row>
    <row r="49" spans="1:7" x14ac:dyDescent="0.25">
      <c r="A49" s="72" t="s">
        <v>86</v>
      </c>
      <c r="B49" s="72">
        <v>2610000126</v>
      </c>
      <c r="C49" s="72">
        <v>8881720004</v>
      </c>
      <c r="D49" s="73">
        <v>46283</v>
      </c>
      <c r="E49" s="74">
        <v>224</v>
      </c>
      <c r="F49" s="74">
        <v>56</v>
      </c>
    </row>
    <row r="50" spans="1:7" x14ac:dyDescent="0.25">
      <c r="A50" s="72" t="s">
        <v>85</v>
      </c>
      <c r="B50" s="72">
        <v>2610000110</v>
      </c>
      <c r="C50" s="72">
        <v>1220190004</v>
      </c>
      <c r="D50" s="73">
        <v>46286</v>
      </c>
      <c r="E50" s="74">
        <v>4400</v>
      </c>
      <c r="F50" s="74">
        <v>200</v>
      </c>
      <c r="G50" s="75" t="s">
        <v>132</v>
      </c>
    </row>
    <row r="51" spans="1:7" x14ac:dyDescent="0.25">
      <c r="A51" s="72" t="s">
        <v>85</v>
      </c>
      <c r="B51" s="72">
        <v>2610000110</v>
      </c>
      <c r="C51" s="72">
        <v>1220200004</v>
      </c>
      <c r="D51" s="73">
        <v>46286</v>
      </c>
      <c r="E51" s="74">
        <v>4400</v>
      </c>
      <c r="F51" s="74">
        <v>200</v>
      </c>
      <c r="G51" s="75" t="s">
        <v>132</v>
      </c>
    </row>
    <row r="52" spans="1:7" x14ac:dyDescent="0.25">
      <c r="A52" s="72">
        <v>436581</v>
      </c>
      <c r="B52" s="72">
        <v>2610000147</v>
      </c>
      <c r="C52" s="72">
        <v>8838310104</v>
      </c>
      <c r="D52" s="73">
        <v>46287</v>
      </c>
      <c r="E52" s="74">
        <v>440</v>
      </c>
      <c r="F52" s="74">
        <v>55</v>
      </c>
    </row>
    <row r="53" spans="1:7" x14ac:dyDescent="0.25">
      <c r="A53" s="72">
        <v>436581</v>
      </c>
      <c r="B53" s="72">
        <v>2610000147</v>
      </c>
      <c r="C53" s="72">
        <v>8838320104</v>
      </c>
      <c r="D53" s="73">
        <v>46287</v>
      </c>
      <c r="E53" s="74">
        <v>440</v>
      </c>
      <c r="F53" s="74">
        <v>55</v>
      </c>
    </row>
    <row r="54" spans="1:7" x14ac:dyDescent="0.25">
      <c r="A54" s="72">
        <v>436581</v>
      </c>
      <c r="B54" s="72">
        <v>2610000147</v>
      </c>
      <c r="C54" s="72">
        <v>8580210004</v>
      </c>
      <c r="D54" s="73">
        <v>46287</v>
      </c>
      <c r="E54" s="74">
        <v>480</v>
      </c>
      <c r="F54" s="74">
        <v>80</v>
      </c>
    </row>
    <row r="55" spans="1:7" x14ac:dyDescent="0.25">
      <c r="A55" s="72">
        <v>436581</v>
      </c>
      <c r="B55" s="72">
        <v>2610000147</v>
      </c>
      <c r="C55" s="72">
        <v>8580220004</v>
      </c>
      <c r="D55" s="73">
        <v>46287</v>
      </c>
      <c r="E55" s="74">
        <v>480</v>
      </c>
      <c r="F55" s="74">
        <v>80</v>
      </c>
    </row>
    <row r="56" spans="1:7" x14ac:dyDescent="0.25">
      <c r="A56" s="72">
        <v>436581</v>
      </c>
      <c r="B56" s="72">
        <v>2610000147</v>
      </c>
      <c r="C56" s="72">
        <v>8835310004</v>
      </c>
      <c r="D56" s="73">
        <v>46287</v>
      </c>
      <c r="E56" s="74">
        <v>525</v>
      </c>
      <c r="F56" s="74">
        <v>75</v>
      </c>
    </row>
    <row r="57" spans="1:7" x14ac:dyDescent="0.25">
      <c r="A57" s="72">
        <v>436581</v>
      </c>
      <c r="B57" s="72">
        <v>2610000147</v>
      </c>
      <c r="C57" s="72">
        <v>8835320004</v>
      </c>
      <c r="D57" s="73">
        <v>46287</v>
      </c>
      <c r="E57" s="74">
        <v>525</v>
      </c>
      <c r="F57" s="74">
        <v>75</v>
      </c>
    </row>
    <row r="58" spans="1:7" x14ac:dyDescent="0.25">
      <c r="A58" s="72">
        <v>436581</v>
      </c>
      <c r="B58" s="72">
        <v>2610000147</v>
      </c>
      <c r="C58" s="72">
        <v>8832310004</v>
      </c>
      <c r="D58" s="73">
        <v>46287</v>
      </c>
      <c r="E58" s="74">
        <v>224</v>
      </c>
      <c r="F58" s="74">
        <v>56</v>
      </c>
    </row>
    <row r="59" spans="1:7" x14ac:dyDescent="0.25">
      <c r="A59" s="72">
        <v>436581</v>
      </c>
      <c r="B59" s="72">
        <v>2610000147</v>
      </c>
      <c r="C59" s="72">
        <v>8832320004</v>
      </c>
      <c r="D59" s="73">
        <v>46287</v>
      </c>
      <c r="E59" s="74">
        <v>224</v>
      </c>
      <c r="F59" s="74">
        <v>56</v>
      </c>
    </row>
    <row r="60" spans="1:7" x14ac:dyDescent="0.25">
      <c r="A60" s="72">
        <v>436582</v>
      </c>
      <c r="B60" s="72">
        <v>2610000148</v>
      </c>
      <c r="C60" s="72">
        <v>8563410004</v>
      </c>
      <c r="D60" s="73">
        <v>46287</v>
      </c>
      <c r="E60" s="74">
        <v>208</v>
      </c>
      <c r="F60" s="74">
        <v>52</v>
      </c>
    </row>
    <row r="61" spans="1:7" x14ac:dyDescent="0.25">
      <c r="A61" s="72">
        <v>436582</v>
      </c>
      <c r="B61" s="72">
        <v>2610000148</v>
      </c>
      <c r="C61" s="72">
        <v>8563420004</v>
      </c>
      <c r="D61" s="73">
        <v>46287</v>
      </c>
      <c r="E61" s="74">
        <v>208</v>
      </c>
      <c r="F61" s="74">
        <v>52</v>
      </c>
    </row>
    <row r="62" spans="1:7" x14ac:dyDescent="0.25">
      <c r="A62" s="72">
        <v>436582</v>
      </c>
      <c r="B62" s="72">
        <v>2610000148</v>
      </c>
      <c r="C62" s="72">
        <v>8580210004</v>
      </c>
      <c r="D62" s="73">
        <v>46287</v>
      </c>
      <c r="E62" s="74">
        <v>320</v>
      </c>
      <c r="F62" s="74">
        <v>80</v>
      </c>
    </row>
    <row r="63" spans="1:7" x14ac:dyDescent="0.25">
      <c r="A63" s="72">
        <v>436582</v>
      </c>
      <c r="B63" s="72">
        <v>2610000148</v>
      </c>
      <c r="C63" s="72">
        <v>8580220004</v>
      </c>
      <c r="D63" s="73">
        <v>46287</v>
      </c>
      <c r="E63" s="74">
        <v>320</v>
      </c>
      <c r="F63" s="74">
        <v>80</v>
      </c>
    </row>
    <row r="64" spans="1:7" x14ac:dyDescent="0.25">
      <c r="A64" s="72">
        <v>436582</v>
      </c>
      <c r="B64" s="72">
        <v>2610000148</v>
      </c>
      <c r="C64" s="72">
        <v>8580310004</v>
      </c>
      <c r="D64" s="73">
        <v>46287</v>
      </c>
      <c r="E64" s="74">
        <v>80</v>
      </c>
      <c r="F64" s="74">
        <v>80</v>
      </c>
    </row>
    <row r="65" spans="1:6" x14ac:dyDescent="0.25">
      <c r="A65" s="72">
        <v>436582</v>
      </c>
      <c r="B65" s="72">
        <v>2610000148</v>
      </c>
      <c r="C65" s="72">
        <v>8580320004</v>
      </c>
      <c r="D65" s="73">
        <v>46287</v>
      </c>
      <c r="E65" s="74">
        <v>80</v>
      </c>
      <c r="F65" s="74">
        <v>80</v>
      </c>
    </row>
    <row r="66" spans="1:6" x14ac:dyDescent="0.25">
      <c r="A66" s="72">
        <v>436582</v>
      </c>
      <c r="B66" s="72">
        <v>2610000148</v>
      </c>
      <c r="C66" s="72">
        <v>8839310104</v>
      </c>
      <c r="D66" s="73">
        <v>46287</v>
      </c>
      <c r="E66" s="74">
        <v>650</v>
      </c>
      <c r="F66" s="74">
        <v>50</v>
      </c>
    </row>
    <row r="67" spans="1:6" x14ac:dyDescent="0.25">
      <c r="A67" s="72">
        <v>436582</v>
      </c>
      <c r="B67" s="72">
        <v>2610000148</v>
      </c>
      <c r="C67" s="72">
        <v>8839320104</v>
      </c>
      <c r="D67" s="73">
        <v>46287</v>
      </c>
      <c r="E67" s="74">
        <v>650</v>
      </c>
      <c r="F67" s="74">
        <v>50</v>
      </c>
    </row>
    <row r="68" spans="1:6" x14ac:dyDescent="0.25">
      <c r="A68" s="72">
        <v>436582</v>
      </c>
      <c r="B68" s="72">
        <v>2610000148</v>
      </c>
      <c r="C68" s="72">
        <v>8839210104</v>
      </c>
      <c r="D68" s="73">
        <v>46287</v>
      </c>
      <c r="E68" s="74">
        <v>200</v>
      </c>
      <c r="F68" s="74">
        <v>50</v>
      </c>
    </row>
    <row r="69" spans="1:6" x14ac:dyDescent="0.25">
      <c r="A69" s="72">
        <v>436582</v>
      </c>
      <c r="B69" s="72">
        <v>2610000148</v>
      </c>
      <c r="C69" s="72">
        <v>8839220104</v>
      </c>
      <c r="D69" s="73">
        <v>46287</v>
      </c>
      <c r="E69" s="74">
        <v>200</v>
      </c>
      <c r="F69" s="74">
        <v>50</v>
      </c>
    </row>
    <row r="70" spans="1:6" x14ac:dyDescent="0.25">
      <c r="A70" s="72">
        <v>436588</v>
      </c>
      <c r="B70" s="72">
        <v>2610000149</v>
      </c>
      <c r="C70" s="72">
        <v>8838210104</v>
      </c>
      <c r="D70" s="73">
        <v>46287</v>
      </c>
      <c r="E70" s="74">
        <v>495</v>
      </c>
      <c r="F70" s="74">
        <v>55</v>
      </c>
    </row>
    <row r="71" spans="1:6" x14ac:dyDescent="0.25">
      <c r="A71" s="72">
        <v>436588</v>
      </c>
      <c r="B71" s="72">
        <v>2610000149</v>
      </c>
      <c r="C71" s="72">
        <v>8838220104</v>
      </c>
      <c r="D71" s="73">
        <v>46287</v>
      </c>
      <c r="E71" s="74">
        <v>495</v>
      </c>
      <c r="F71" s="74">
        <v>55</v>
      </c>
    </row>
    <row r="72" spans="1:6" x14ac:dyDescent="0.25">
      <c r="A72" s="72">
        <v>436588</v>
      </c>
      <c r="B72" s="72">
        <v>2610000149</v>
      </c>
      <c r="C72" s="72">
        <v>8563310004</v>
      </c>
      <c r="D72" s="73">
        <v>46287</v>
      </c>
      <c r="E72" s="74">
        <v>520</v>
      </c>
      <c r="F72" s="74">
        <v>52</v>
      </c>
    </row>
    <row r="73" spans="1:6" x14ac:dyDescent="0.25">
      <c r="A73" s="72">
        <v>436588</v>
      </c>
      <c r="B73" s="72">
        <v>2610000149</v>
      </c>
      <c r="C73" s="72">
        <v>8563320004</v>
      </c>
      <c r="D73" s="73">
        <v>46287</v>
      </c>
      <c r="E73" s="74">
        <v>520</v>
      </c>
      <c r="F73" s="74">
        <v>52</v>
      </c>
    </row>
    <row r="74" spans="1:6" x14ac:dyDescent="0.25">
      <c r="A74" s="72">
        <v>436588</v>
      </c>
      <c r="B74" s="72">
        <v>2610000149</v>
      </c>
      <c r="C74" s="72">
        <v>8100910004</v>
      </c>
      <c r="D74" s="73">
        <v>46287</v>
      </c>
      <c r="E74" s="74">
        <v>880</v>
      </c>
      <c r="F74" s="74">
        <v>220</v>
      </c>
    </row>
    <row r="75" spans="1:6" x14ac:dyDescent="0.25">
      <c r="A75" s="72">
        <v>436588</v>
      </c>
      <c r="B75" s="72">
        <v>2610000149</v>
      </c>
      <c r="C75" s="72">
        <v>8100920004</v>
      </c>
      <c r="D75" s="73">
        <v>46287</v>
      </c>
      <c r="E75" s="74">
        <v>880</v>
      </c>
      <c r="F75" s="74">
        <v>220</v>
      </c>
    </row>
    <row r="76" spans="1:6" x14ac:dyDescent="0.25">
      <c r="A76" s="72">
        <v>436589</v>
      </c>
      <c r="B76" s="72">
        <v>2610000150</v>
      </c>
      <c r="C76" s="72">
        <v>8838310104</v>
      </c>
      <c r="D76" s="73">
        <v>46287</v>
      </c>
      <c r="E76" s="74">
        <v>1430</v>
      </c>
      <c r="F76" s="74">
        <v>55</v>
      </c>
    </row>
    <row r="77" spans="1:6" x14ac:dyDescent="0.25">
      <c r="A77" s="72">
        <v>436589</v>
      </c>
      <c r="B77" s="72">
        <v>2610000150</v>
      </c>
      <c r="C77" s="72">
        <v>8838320104</v>
      </c>
      <c r="D77" s="73">
        <v>46287</v>
      </c>
      <c r="E77" s="74">
        <v>1430</v>
      </c>
      <c r="F77" s="74">
        <v>55</v>
      </c>
    </row>
    <row r="78" spans="1:6" x14ac:dyDescent="0.25">
      <c r="A78" s="72">
        <v>436590</v>
      </c>
      <c r="B78" s="72">
        <v>2610000151</v>
      </c>
      <c r="C78" s="72">
        <v>8833310004</v>
      </c>
      <c r="D78" s="73">
        <v>46288</v>
      </c>
      <c r="E78" s="74">
        <v>1344</v>
      </c>
      <c r="F78" s="74">
        <v>56</v>
      </c>
    </row>
    <row r="79" spans="1:6" x14ac:dyDescent="0.25">
      <c r="A79" s="72">
        <v>436590</v>
      </c>
      <c r="B79" s="72">
        <v>2610000151</v>
      </c>
      <c r="C79" s="72">
        <v>8833320004</v>
      </c>
      <c r="D79" s="73">
        <v>46288</v>
      </c>
      <c r="E79" s="74">
        <v>1344</v>
      </c>
      <c r="F79" s="74">
        <v>56</v>
      </c>
    </row>
    <row r="80" spans="1:6" x14ac:dyDescent="0.25">
      <c r="A80" s="72">
        <v>436590</v>
      </c>
      <c r="B80" s="72">
        <v>2610000151</v>
      </c>
      <c r="C80" s="72">
        <v>8833410004</v>
      </c>
      <c r="D80" s="73">
        <v>46288</v>
      </c>
      <c r="E80" s="74">
        <v>336</v>
      </c>
      <c r="F80" s="74">
        <v>56</v>
      </c>
    </row>
    <row r="81" spans="1:6" x14ac:dyDescent="0.25">
      <c r="A81" s="72">
        <v>436590</v>
      </c>
      <c r="B81" s="72">
        <v>2610000151</v>
      </c>
      <c r="C81" s="72">
        <v>8833420004</v>
      </c>
      <c r="D81" s="73">
        <v>46288</v>
      </c>
      <c r="E81" s="74">
        <v>336</v>
      </c>
      <c r="F81" s="74">
        <v>56</v>
      </c>
    </row>
    <row r="82" spans="1:6" x14ac:dyDescent="0.25">
      <c r="A82" s="72">
        <v>436591</v>
      </c>
      <c r="B82" s="72">
        <v>2610000152</v>
      </c>
      <c r="C82" s="72">
        <v>8836210004</v>
      </c>
      <c r="D82" s="73">
        <v>46288</v>
      </c>
      <c r="E82" s="74">
        <v>140</v>
      </c>
      <c r="F82" s="74">
        <v>70</v>
      </c>
    </row>
    <row r="83" spans="1:6" x14ac:dyDescent="0.25">
      <c r="A83" s="72">
        <v>436591</v>
      </c>
      <c r="B83" s="72">
        <v>2610000152</v>
      </c>
      <c r="C83" s="72">
        <v>8836220004</v>
      </c>
      <c r="D83" s="73">
        <v>46288</v>
      </c>
      <c r="E83" s="74">
        <v>140</v>
      </c>
      <c r="F83" s="74">
        <v>70</v>
      </c>
    </row>
    <row r="84" spans="1:6" x14ac:dyDescent="0.25">
      <c r="A84" s="72">
        <v>436591</v>
      </c>
      <c r="B84" s="72">
        <v>2610000152</v>
      </c>
      <c r="C84" s="72">
        <v>8835310004</v>
      </c>
      <c r="D84" s="73">
        <v>46288</v>
      </c>
      <c r="E84" s="74">
        <v>1350</v>
      </c>
      <c r="F84" s="74">
        <v>75</v>
      </c>
    </row>
    <row r="85" spans="1:6" x14ac:dyDescent="0.25">
      <c r="A85" s="72">
        <v>436591</v>
      </c>
      <c r="B85" s="72">
        <v>2610000152</v>
      </c>
      <c r="C85" s="72">
        <v>8835320004</v>
      </c>
      <c r="D85" s="73">
        <v>46288</v>
      </c>
      <c r="E85" s="74">
        <v>1350</v>
      </c>
      <c r="F85" s="74">
        <v>75</v>
      </c>
    </row>
    <row r="86" spans="1:6" x14ac:dyDescent="0.25">
      <c r="A86" s="72">
        <v>436591</v>
      </c>
      <c r="B86" s="72">
        <v>2610000152</v>
      </c>
      <c r="C86" s="72">
        <v>8832310004</v>
      </c>
      <c r="D86" s="73">
        <v>46288</v>
      </c>
      <c r="E86" s="74">
        <v>168</v>
      </c>
      <c r="F86" s="74">
        <v>56</v>
      </c>
    </row>
    <row r="87" spans="1:6" x14ac:dyDescent="0.25">
      <c r="A87" s="72">
        <v>436591</v>
      </c>
      <c r="B87" s="72">
        <v>2610000152</v>
      </c>
      <c r="C87" s="72">
        <v>8832320004</v>
      </c>
      <c r="D87" s="73">
        <v>46288</v>
      </c>
      <c r="E87" s="74">
        <v>168</v>
      </c>
      <c r="F87" s="74">
        <v>56</v>
      </c>
    </row>
    <row r="88" spans="1:6" x14ac:dyDescent="0.25">
      <c r="A88" s="72">
        <v>436591</v>
      </c>
      <c r="B88" s="72">
        <v>2610000152</v>
      </c>
      <c r="C88" s="72">
        <v>8832410004</v>
      </c>
      <c r="D88" s="73">
        <v>46288</v>
      </c>
      <c r="E88" s="74">
        <v>168</v>
      </c>
      <c r="F88" s="74">
        <v>56</v>
      </c>
    </row>
    <row r="89" spans="1:6" x14ac:dyDescent="0.25">
      <c r="A89" s="72">
        <v>436591</v>
      </c>
      <c r="B89" s="72">
        <v>2610000152</v>
      </c>
      <c r="C89" s="72">
        <v>8832420004</v>
      </c>
      <c r="D89" s="73">
        <v>46288</v>
      </c>
      <c r="E89" s="74">
        <v>168</v>
      </c>
      <c r="F89" s="74">
        <v>56</v>
      </c>
    </row>
    <row r="90" spans="1:6" x14ac:dyDescent="0.25">
      <c r="A90" s="72">
        <v>436592</v>
      </c>
      <c r="B90" s="72">
        <v>2610000153</v>
      </c>
      <c r="C90" s="72">
        <v>8836310004</v>
      </c>
      <c r="D90" s="73">
        <v>46288</v>
      </c>
      <c r="E90" s="74">
        <v>770</v>
      </c>
      <c r="F90" s="74">
        <v>70</v>
      </c>
    </row>
    <row r="91" spans="1:6" x14ac:dyDescent="0.25">
      <c r="A91" s="72">
        <v>436592</v>
      </c>
      <c r="B91" s="72">
        <v>2610000153</v>
      </c>
      <c r="C91" s="72">
        <v>8836320004</v>
      </c>
      <c r="D91" s="73">
        <v>46288</v>
      </c>
      <c r="E91" s="74">
        <v>770</v>
      </c>
      <c r="F91" s="74">
        <v>70</v>
      </c>
    </row>
    <row r="92" spans="1:6" x14ac:dyDescent="0.25">
      <c r="A92" s="72">
        <v>436592</v>
      </c>
      <c r="B92" s="72">
        <v>2610000153</v>
      </c>
      <c r="C92" s="72">
        <v>8835210004</v>
      </c>
      <c r="D92" s="73">
        <v>46288</v>
      </c>
      <c r="E92" s="74">
        <v>150</v>
      </c>
      <c r="F92" s="74">
        <v>75</v>
      </c>
    </row>
    <row r="93" spans="1:6" x14ac:dyDescent="0.25">
      <c r="A93" s="72">
        <v>436592</v>
      </c>
      <c r="B93" s="72">
        <v>2610000153</v>
      </c>
      <c r="C93" s="72">
        <v>8835220004</v>
      </c>
      <c r="D93" s="73">
        <v>46288</v>
      </c>
      <c r="E93" s="74">
        <v>150</v>
      </c>
      <c r="F93" s="74">
        <v>75</v>
      </c>
    </row>
    <row r="94" spans="1:6" x14ac:dyDescent="0.25">
      <c r="A94" s="72">
        <v>436592</v>
      </c>
      <c r="B94" s="72">
        <v>2610000153</v>
      </c>
      <c r="C94" s="72">
        <v>8832310004</v>
      </c>
      <c r="D94" s="73">
        <v>46288</v>
      </c>
      <c r="E94" s="74">
        <v>784</v>
      </c>
      <c r="F94" s="74">
        <v>56</v>
      </c>
    </row>
    <row r="95" spans="1:6" x14ac:dyDescent="0.25">
      <c r="A95" s="72">
        <v>436592</v>
      </c>
      <c r="B95" s="72">
        <v>2610000153</v>
      </c>
      <c r="C95" s="72">
        <v>8832320004</v>
      </c>
      <c r="D95" s="73">
        <v>46288</v>
      </c>
      <c r="E95" s="74">
        <v>784</v>
      </c>
      <c r="F95" s="74">
        <v>56</v>
      </c>
    </row>
  </sheetData>
  <pageMargins left="0.7" right="0.7" top="0.75" bottom="0.75" header="0.3" footer="0.3"/>
  <pageSetup paperSize="9" scale="8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3156-973D-4A14-BD63-FC084C0BECEA}">
  <dimension ref="A1:Z110"/>
  <sheetViews>
    <sheetView topLeftCell="G1" zoomScaleNormal="100" workbookViewId="0">
      <pane ySplit="1" topLeftCell="A105" activePane="bottomLeft" state="frozen"/>
      <selection activeCell="B1" sqref="B1"/>
      <selection pane="bottomLeft" activeCell="O13" sqref="O13"/>
    </sheetView>
  </sheetViews>
  <sheetFormatPr defaultColWidth="8.7109375" defaultRowHeight="15" outlineLevelCol="1" x14ac:dyDescent="0.25"/>
  <cols>
    <col min="1" max="1" width="27.140625" style="8" bestFit="1" customWidth="1"/>
    <col min="2" max="2" width="15.5703125" style="8" customWidth="1"/>
    <col min="3" max="4" width="19.140625" style="8" customWidth="1"/>
    <col min="5" max="5" width="15.5703125" style="8" customWidth="1"/>
    <col min="6" max="6" width="15.140625" style="8" customWidth="1"/>
    <col min="7" max="7" width="43.140625" style="8" customWidth="1"/>
    <col min="8" max="9" width="13.85546875" style="19" customWidth="1"/>
    <col min="10" max="10" width="11.5703125" style="20" customWidth="1"/>
    <col min="11" max="11" width="11.5703125" style="61" customWidth="1"/>
    <col min="12" max="14" width="11.5703125" style="20" customWidth="1"/>
    <col min="15" max="15" width="14.42578125" style="20" customWidth="1"/>
    <col min="16" max="16" width="14.28515625" style="20" customWidth="1"/>
    <col min="17" max="17" width="11.5703125" style="20" customWidth="1" outlineLevel="1"/>
    <col min="18" max="19" width="8.85546875" style="20" customWidth="1" outlineLevel="1"/>
    <col min="20" max="20" width="8" style="20" customWidth="1" outlineLevel="1"/>
    <col min="21" max="22" width="11.5703125" style="20" customWidth="1" outlineLevel="1"/>
    <col min="23" max="23" width="14.140625" style="21" customWidth="1" outlineLevel="1"/>
    <col min="24" max="24" width="20.7109375" style="21" customWidth="1" outlineLevel="1"/>
    <col min="25" max="25" width="12.5703125" style="8" customWidth="1" outlineLevel="1"/>
    <col min="26" max="16384" width="8.7109375" style="8"/>
  </cols>
  <sheetData>
    <row r="1" spans="1:26" s="1" customFormat="1" ht="30" x14ac:dyDescent="0.25">
      <c r="A1" s="23" t="s">
        <v>0</v>
      </c>
      <c r="B1" s="24" t="s">
        <v>1</v>
      </c>
      <c r="C1" s="23" t="s">
        <v>2</v>
      </c>
      <c r="D1" s="23" t="s">
        <v>91</v>
      </c>
      <c r="E1" s="25" t="s">
        <v>3</v>
      </c>
      <c r="F1" s="25" t="s">
        <v>4</v>
      </c>
      <c r="G1" s="23" t="s">
        <v>5</v>
      </c>
      <c r="H1" s="26" t="s">
        <v>6</v>
      </c>
      <c r="I1" s="26" t="s">
        <v>98</v>
      </c>
      <c r="J1" s="27" t="s">
        <v>7</v>
      </c>
      <c r="K1" s="56" t="s">
        <v>92</v>
      </c>
      <c r="L1" s="27" t="s">
        <v>93</v>
      </c>
      <c r="M1" s="27" t="s">
        <v>94</v>
      </c>
      <c r="N1" s="27" t="s">
        <v>95</v>
      </c>
      <c r="O1" s="27" t="s">
        <v>96</v>
      </c>
      <c r="P1" s="27" t="s">
        <v>99</v>
      </c>
      <c r="Q1" s="27" t="s">
        <v>105</v>
      </c>
      <c r="R1" s="27" t="s">
        <v>106</v>
      </c>
      <c r="S1" s="27" t="s">
        <v>107</v>
      </c>
      <c r="T1" s="27" t="s">
        <v>100</v>
      </c>
      <c r="U1" s="27" t="s">
        <v>101</v>
      </c>
      <c r="V1" s="27" t="s">
        <v>97</v>
      </c>
      <c r="W1" s="28" t="s">
        <v>8</v>
      </c>
      <c r="X1" s="28" t="s">
        <v>9</v>
      </c>
      <c r="Y1" s="25" t="s">
        <v>10</v>
      </c>
    </row>
    <row r="2" spans="1:26" ht="30" x14ac:dyDescent="0.25">
      <c r="A2" s="18" t="s">
        <v>71</v>
      </c>
      <c r="B2" s="10" t="s">
        <v>12</v>
      </c>
      <c r="C2" s="2" t="s">
        <v>90</v>
      </c>
      <c r="D2" s="2"/>
      <c r="E2" s="2">
        <v>7150170001</v>
      </c>
      <c r="F2" s="2" t="s">
        <v>41</v>
      </c>
      <c r="G2" s="2" t="s">
        <v>72</v>
      </c>
      <c r="H2" s="16">
        <v>46273</v>
      </c>
      <c r="I2" s="16">
        <v>46273</v>
      </c>
      <c r="J2" s="7">
        <v>50000</v>
      </c>
      <c r="K2" s="55">
        <v>8.0000000000000004E-4</v>
      </c>
      <c r="L2" s="62">
        <v>40000</v>
      </c>
      <c r="M2" s="68">
        <f>J2/L2</f>
        <v>1.25</v>
      </c>
      <c r="N2" s="7">
        <f>J2*K2</f>
        <v>40</v>
      </c>
      <c r="O2" s="7"/>
      <c r="P2" s="63" t="s">
        <v>128</v>
      </c>
      <c r="Q2" s="7">
        <v>440</v>
      </c>
      <c r="R2" s="7">
        <v>220</v>
      </c>
      <c r="S2" s="7">
        <v>270</v>
      </c>
      <c r="T2" s="43">
        <f t="shared" ref="T2:T16" si="0">ROUND((Q2*R2*S2/1000000000),3)</f>
        <v>2.5999999999999999E-2</v>
      </c>
      <c r="U2" s="64">
        <v>0.10500000000000001</v>
      </c>
      <c r="V2" s="66" t="s">
        <v>114</v>
      </c>
      <c r="W2" s="5">
        <v>9.7999999999999997E-3</v>
      </c>
      <c r="X2" s="5">
        <f>J2*W2</f>
        <v>490</v>
      </c>
      <c r="Y2" s="6"/>
    </row>
    <row r="3" spans="1:26" x14ac:dyDescent="0.25">
      <c r="A3" s="2" t="s">
        <v>71</v>
      </c>
      <c r="B3" s="10" t="s">
        <v>12</v>
      </c>
      <c r="C3" s="2" t="s">
        <v>90</v>
      </c>
      <c r="D3" s="2"/>
      <c r="E3" s="2">
        <v>7121100001</v>
      </c>
      <c r="F3" s="9" t="s">
        <v>41</v>
      </c>
      <c r="G3" s="2" t="s">
        <v>78</v>
      </c>
      <c r="H3" s="16">
        <v>46273</v>
      </c>
      <c r="I3" s="16">
        <v>46273</v>
      </c>
      <c r="J3" s="7">
        <v>500</v>
      </c>
      <c r="K3" s="55">
        <v>2.5999999999999999E-2</v>
      </c>
      <c r="L3" s="62">
        <v>500</v>
      </c>
      <c r="M3" s="68">
        <f>J3/L3</f>
        <v>1</v>
      </c>
      <c r="N3" s="7">
        <f>J3*K3</f>
        <v>13</v>
      </c>
      <c r="O3" s="7"/>
      <c r="P3" s="63" t="s">
        <v>129</v>
      </c>
      <c r="Q3" s="7">
        <v>260</v>
      </c>
      <c r="R3" s="7">
        <v>220</v>
      </c>
      <c r="S3" s="7">
        <v>150</v>
      </c>
      <c r="T3" s="43">
        <f t="shared" si="0"/>
        <v>8.9999999999999993E-3</v>
      </c>
      <c r="U3" s="64">
        <v>2.7E-2</v>
      </c>
      <c r="V3" s="66"/>
      <c r="W3" s="5">
        <v>0.05</v>
      </c>
      <c r="X3" s="5">
        <f t="shared" ref="X3:X5" si="1">J3*W3</f>
        <v>25</v>
      </c>
      <c r="Y3" s="6"/>
    </row>
    <row r="4" spans="1:26" x14ac:dyDescent="0.25">
      <c r="A4" s="18" t="s">
        <v>71</v>
      </c>
      <c r="B4" s="10" t="s">
        <v>12</v>
      </c>
      <c r="C4" s="2" t="s">
        <v>90</v>
      </c>
      <c r="D4" s="2">
        <v>2610000164</v>
      </c>
      <c r="E4" s="2">
        <v>8515210204</v>
      </c>
      <c r="F4" s="9">
        <v>5152</v>
      </c>
      <c r="G4" s="2" t="s">
        <v>74</v>
      </c>
      <c r="H4" s="16">
        <v>46273</v>
      </c>
      <c r="I4" s="16">
        <v>46273</v>
      </c>
      <c r="J4" s="7">
        <v>140</v>
      </c>
      <c r="K4" s="40">
        <v>4.3899999999999997</v>
      </c>
      <c r="L4" s="40">
        <v>4.3899999999999997</v>
      </c>
      <c r="M4" s="69">
        <v>2</v>
      </c>
      <c r="N4" s="7">
        <f>J4*K4</f>
        <v>614.59999999999991</v>
      </c>
      <c r="O4" s="7"/>
      <c r="P4" s="45" t="s">
        <v>102</v>
      </c>
      <c r="Q4" s="63"/>
      <c r="R4" s="7">
        <v>1470</v>
      </c>
      <c r="S4" s="7">
        <v>1135</v>
      </c>
      <c r="T4" s="7">
        <v>925</v>
      </c>
      <c r="U4" s="43">
        <v>3.0859999999999999</v>
      </c>
      <c r="V4" s="64"/>
      <c r="W4" s="67">
        <v>7.3921000000000001</v>
      </c>
      <c r="X4" s="5">
        <f t="shared" si="1"/>
        <v>1034.894</v>
      </c>
      <c r="Y4" s="5"/>
      <c r="Z4" s="6"/>
    </row>
    <row r="5" spans="1:26" x14ac:dyDescent="0.25">
      <c r="A5" s="2" t="s">
        <v>71</v>
      </c>
      <c r="B5" s="10" t="s">
        <v>12</v>
      </c>
      <c r="C5" s="2" t="s">
        <v>90</v>
      </c>
      <c r="D5" s="2">
        <v>2610000164</v>
      </c>
      <c r="E5" s="2">
        <v>8515220204</v>
      </c>
      <c r="F5" s="9">
        <v>5152</v>
      </c>
      <c r="G5" s="2" t="s">
        <v>75</v>
      </c>
      <c r="H5" s="16">
        <v>46273</v>
      </c>
      <c r="I5" s="16">
        <v>46273</v>
      </c>
      <c r="J5" s="7">
        <v>140</v>
      </c>
      <c r="K5" s="40">
        <v>4.3899999999999997</v>
      </c>
      <c r="L5" s="40">
        <v>4.3899999999999997</v>
      </c>
      <c r="M5" s="70"/>
      <c r="N5" s="7">
        <f>J5*K5</f>
        <v>614.59999999999991</v>
      </c>
      <c r="O5" s="7"/>
      <c r="P5" s="7"/>
      <c r="Q5" s="63"/>
      <c r="R5" s="7"/>
      <c r="S5" s="7"/>
      <c r="T5" s="7"/>
      <c r="U5" s="43"/>
      <c r="V5" s="64"/>
      <c r="W5" s="67">
        <v>7.3921000000000001</v>
      </c>
      <c r="X5" s="5">
        <f t="shared" si="1"/>
        <v>1034.894</v>
      </c>
      <c r="Y5" s="5"/>
      <c r="Z5" s="6"/>
    </row>
    <row r="6" spans="1:26" s="38" customFormat="1" x14ac:dyDescent="0.25">
      <c r="A6" s="32"/>
      <c r="B6" s="33"/>
      <c r="C6" s="32"/>
      <c r="D6" s="32"/>
      <c r="E6" s="32"/>
      <c r="F6" s="32"/>
      <c r="G6" s="32"/>
      <c r="H6" s="34"/>
      <c r="I6" s="34"/>
      <c r="J6" s="35"/>
      <c r="K6" s="57"/>
      <c r="L6" s="35"/>
      <c r="M6" s="35">
        <v>1</v>
      </c>
      <c r="N6" s="35">
        <f>SUM(N2:N5)</f>
        <v>1282.1999999999998</v>
      </c>
      <c r="O6" s="35">
        <v>1413.1999999999998</v>
      </c>
      <c r="P6" s="35"/>
      <c r="Q6" s="35"/>
      <c r="R6" s="35"/>
      <c r="S6" s="35"/>
      <c r="T6" s="57"/>
      <c r="U6" s="57">
        <f>SUM(U2:U5)</f>
        <v>3.218</v>
      </c>
      <c r="V6" s="35"/>
      <c r="W6" s="36"/>
      <c r="X6" s="36">
        <f>SUM(X2:X5)</f>
        <v>2584.788</v>
      </c>
      <c r="Y6" s="37"/>
    </row>
    <row r="7" spans="1:26" x14ac:dyDescent="0.25">
      <c r="A7" s="52" t="s">
        <v>56</v>
      </c>
      <c r="B7" s="10" t="s">
        <v>12</v>
      </c>
      <c r="C7" s="52">
        <v>8568</v>
      </c>
      <c r="D7" s="2">
        <v>2610000109</v>
      </c>
      <c r="E7" s="2">
        <v>8361110304</v>
      </c>
      <c r="F7" s="2">
        <v>3611</v>
      </c>
      <c r="G7" s="2" t="s">
        <v>65</v>
      </c>
      <c r="H7" s="16">
        <v>46274</v>
      </c>
      <c r="I7" s="16">
        <v>46274</v>
      </c>
      <c r="J7" s="7">
        <v>640</v>
      </c>
      <c r="K7" s="30">
        <v>6.7</v>
      </c>
      <c r="L7" s="7">
        <v>64</v>
      </c>
      <c r="M7" s="29">
        <f>J7/L7</f>
        <v>10</v>
      </c>
      <c r="N7" s="7">
        <f>J7*K7</f>
        <v>4288</v>
      </c>
      <c r="O7" s="7"/>
      <c r="P7" s="45" t="s">
        <v>108</v>
      </c>
      <c r="Q7" s="47">
        <v>1150</v>
      </c>
      <c r="R7" s="47">
        <v>1140</v>
      </c>
      <c r="S7" s="47">
        <v>740</v>
      </c>
      <c r="T7" s="43">
        <f t="shared" si="0"/>
        <v>0.97</v>
      </c>
      <c r="U7" s="46">
        <f>T7*M7</f>
        <v>9.6999999999999993</v>
      </c>
      <c r="V7" s="7"/>
      <c r="W7" s="5">
        <v>17.05</v>
      </c>
      <c r="X7" s="5">
        <f t="shared" ref="X7:X16" si="2">J7*W7</f>
        <v>10912</v>
      </c>
      <c r="Y7" s="6"/>
    </row>
    <row r="8" spans="1:26" x14ac:dyDescent="0.25">
      <c r="A8" s="2" t="s">
        <v>56</v>
      </c>
      <c r="B8" s="10" t="s">
        <v>12</v>
      </c>
      <c r="C8" s="2">
        <v>8568</v>
      </c>
      <c r="D8" s="2">
        <v>2610000109</v>
      </c>
      <c r="E8" s="2">
        <v>8361120304</v>
      </c>
      <c r="F8" s="9">
        <v>3611</v>
      </c>
      <c r="G8" s="2" t="s">
        <v>66</v>
      </c>
      <c r="H8" s="16">
        <v>46274</v>
      </c>
      <c r="I8" s="16">
        <v>46274</v>
      </c>
      <c r="J8" s="7">
        <v>640</v>
      </c>
      <c r="K8" s="30">
        <v>6.7</v>
      </c>
      <c r="L8" s="7">
        <v>64</v>
      </c>
      <c r="M8" s="29">
        <f t="shared" ref="M8:M15" si="3">J8/L8</f>
        <v>10</v>
      </c>
      <c r="N8" s="7">
        <f t="shared" ref="N8:N16" si="4">J8*K8</f>
        <v>4288</v>
      </c>
      <c r="O8" s="7"/>
      <c r="P8" s="45" t="s">
        <v>108</v>
      </c>
      <c r="Q8" s="47">
        <v>1150</v>
      </c>
      <c r="R8" s="47">
        <v>1140</v>
      </c>
      <c r="S8" s="47">
        <v>740</v>
      </c>
      <c r="T8" s="43">
        <f t="shared" si="0"/>
        <v>0.97</v>
      </c>
      <c r="U8" s="46">
        <f t="shared" ref="U8:U16" si="5">T8*M8</f>
        <v>9.6999999999999993</v>
      </c>
      <c r="V8" s="7"/>
      <c r="W8" s="5">
        <v>17.05</v>
      </c>
      <c r="X8" s="5">
        <f t="shared" si="2"/>
        <v>10912</v>
      </c>
      <c r="Y8" s="6"/>
    </row>
    <row r="9" spans="1:26" x14ac:dyDescent="0.25">
      <c r="A9" s="2" t="s">
        <v>56</v>
      </c>
      <c r="B9" s="10" t="s">
        <v>12</v>
      </c>
      <c r="C9" s="2">
        <v>8568</v>
      </c>
      <c r="D9" s="2">
        <v>2610000109</v>
      </c>
      <c r="E9" s="2">
        <v>8361110304</v>
      </c>
      <c r="F9" s="9">
        <v>3611</v>
      </c>
      <c r="G9" s="2" t="s">
        <v>65</v>
      </c>
      <c r="H9" s="16">
        <v>46274</v>
      </c>
      <c r="I9" s="16">
        <v>46274</v>
      </c>
      <c r="J9" s="7">
        <v>32</v>
      </c>
      <c r="K9" s="30">
        <v>6.7</v>
      </c>
      <c r="L9" s="7">
        <v>32</v>
      </c>
      <c r="M9" s="29">
        <f t="shared" si="3"/>
        <v>1</v>
      </c>
      <c r="N9" s="7">
        <f t="shared" si="4"/>
        <v>214.4</v>
      </c>
      <c r="O9" s="7"/>
      <c r="P9" s="45" t="s">
        <v>108</v>
      </c>
      <c r="Q9" s="47">
        <v>1150</v>
      </c>
      <c r="R9" s="47">
        <v>1140</v>
      </c>
      <c r="S9" s="47">
        <v>740</v>
      </c>
      <c r="T9" s="43">
        <f t="shared" si="0"/>
        <v>0.97</v>
      </c>
      <c r="U9" s="46">
        <f t="shared" si="5"/>
        <v>0.97</v>
      </c>
      <c r="V9" s="7"/>
      <c r="W9" s="5">
        <v>17.05</v>
      </c>
      <c r="X9" s="5">
        <f t="shared" si="2"/>
        <v>545.6</v>
      </c>
      <c r="Y9" s="6"/>
    </row>
    <row r="10" spans="1:26" x14ac:dyDescent="0.25">
      <c r="A10" s="2" t="s">
        <v>56</v>
      </c>
      <c r="B10" s="10" t="s">
        <v>12</v>
      </c>
      <c r="C10" s="2">
        <v>8568</v>
      </c>
      <c r="D10" s="2">
        <v>2610000109</v>
      </c>
      <c r="E10" s="2">
        <v>8361120304</v>
      </c>
      <c r="F10" s="9">
        <v>3611</v>
      </c>
      <c r="G10" s="2" t="s">
        <v>66</v>
      </c>
      <c r="H10" s="16">
        <v>46274</v>
      </c>
      <c r="I10" s="16">
        <v>46274</v>
      </c>
      <c r="J10" s="7">
        <v>32</v>
      </c>
      <c r="K10" s="30">
        <v>6.7</v>
      </c>
      <c r="L10" s="7">
        <v>32</v>
      </c>
      <c r="M10" s="29">
        <f t="shared" si="3"/>
        <v>1</v>
      </c>
      <c r="N10" s="7">
        <f t="shared" si="4"/>
        <v>214.4</v>
      </c>
      <c r="O10" s="7"/>
      <c r="P10" s="45" t="s">
        <v>108</v>
      </c>
      <c r="Q10" s="47">
        <v>1150</v>
      </c>
      <c r="R10" s="47">
        <v>1140</v>
      </c>
      <c r="S10" s="47">
        <v>740</v>
      </c>
      <c r="T10" s="43">
        <f t="shared" si="0"/>
        <v>0.97</v>
      </c>
      <c r="U10" s="46">
        <f t="shared" si="5"/>
        <v>0.97</v>
      </c>
      <c r="V10" s="7"/>
      <c r="W10" s="5">
        <v>17.05</v>
      </c>
      <c r="X10" s="5">
        <f t="shared" si="2"/>
        <v>545.6</v>
      </c>
      <c r="Y10" s="6"/>
    </row>
    <row r="11" spans="1:26" x14ac:dyDescent="0.25">
      <c r="A11" s="2" t="s">
        <v>56</v>
      </c>
      <c r="B11" s="10" t="s">
        <v>12</v>
      </c>
      <c r="C11" s="2">
        <v>8568</v>
      </c>
      <c r="D11" s="2">
        <v>2610000109</v>
      </c>
      <c r="E11" s="2">
        <v>7201940001</v>
      </c>
      <c r="F11" s="2" t="s">
        <v>41</v>
      </c>
      <c r="G11" s="2" t="s">
        <v>67</v>
      </c>
      <c r="H11" s="16">
        <v>46274</v>
      </c>
      <c r="I11" s="16">
        <v>46274</v>
      </c>
      <c r="J11" s="7">
        <v>2070</v>
      </c>
      <c r="K11" s="30">
        <v>0.16500000000000001</v>
      </c>
      <c r="L11" s="7">
        <v>60</v>
      </c>
      <c r="M11" s="29">
        <f t="shared" si="3"/>
        <v>34.5</v>
      </c>
      <c r="N11" s="7">
        <f t="shared" si="4"/>
        <v>341.55</v>
      </c>
      <c r="O11" s="7"/>
      <c r="P11" s="45" t="s">
        <v>109</v>
      </c>
      <c r="Q11" s="47">
        <v>335</v>
      </c>
      <c r="R11" s="47">
        <v>190</v>
      </c>
      <c r="S11" s="47">
        <v>170</v>
      </c>
      <c r="T11" s="43">
        <f t="shared" si="0"/>
        <v>1.0999999999999999E-2</v>
      </c>
      <c r="U11" s="46">
        <f t="shared" si="5"/>
        <v>0.3795</v>
      </c>
      <c r="V11" s="7"/>
      <c r="W11" s="5">
        <v>0.4</v>
      </c>
      <c r="X11" s="5">
        <f t="shared" si="2"/>
        <v>828</v>
      </c>
      <c r="Y11" s="6"/>
    </row>
    <row r="12" spans="1:26" x14ac:dyDescent="0.25">
      <c r="A12" s="9" t="s">
        <v>56</v>
      </c>
      <c r="B12" s="10" t="s">
        <v>12</v>
      </c>
      <c r="C12" s="9">
        <v>8568</v>
      </c>
      <c r="D12" s="9">
        <v>2610000109</v>
      </c>
      <c r="E12" s="9">
        <v>1374230001</v>
      </c>
      <c r="F12" s="9" t="s">
        <v>41</v>
      </c>
      <c r="G12" s="9" t="s">
        <v>68</v>
      </c>
      <c r="H12" s="16">
        <v>46274</v>
      </c>
      <c r="I12" s="16">
        <v>46274</v>
      </c>
      <c r="J12" s="12">
        <v>672</v>
      </c>
      <c r="K12" s="31">
        <v>0.66800000000000004</v>
      </c>
      <c r="L12" s="12">
        <v>25</v>
      </c>
      <c r="M12" s="29">
        <f t="shared" si="3"/>
        <v>26.88</v>
      </c>
      <c r="N12" s="7">
        <f t="shared" si="4"/>
        <v>448.89600000000002</v>
      </c>
      <c r="O12" s="12"/>
      <c r="P12" s="45" t="s">
        <v>110</v>
      </c>
      <c r="Q12" s="47">
        <v>460</v>
      </c>
      <c r="R12" s="47">
        <v>280</v>
      </c>
      <c r="S12" s="47">
        <v>200</v>
      </c>
      <c r="T12" s="43">
        <f t="shared" si="0"/>
        <v>2.5999999999999999E-2</v>
      </c>
      <c r="U12" s="46">
        <f t="shared" si="5"/>
        <v>0.69887999999999995</v>
      </c>
      <c r="V12" s="12"/>
      <c r="W12" s="14">
        <v>1.81</v>
      </c>
      <c r="X12" s="5">
        <f t="shared" si="2"/>
        <v>1216.32</v>
      </c>
      <c r="Y12" s="6"/>
    </row>
    <row r="13" spans="1:26" x14ac:dyDescent="0.25">
      <c r="A13" s="2" t="s">
        <v>56</v>
      </c>
      <c r="B13" s="10" t="s">
        <v>12</v>
      </c>
      <c r="C13" s="2">
        <v>8568</v>
      </c>
      <c r="D13" s="2">
        <v>2610000109</v>
      </c>
      <c r="E13" s="2">
        <v>1372330001</v>
      </c>
      <c r="F13" s="2" t="s">
        <v>41</v>
      </c>
      <c r="G13" s="2" t="s">
        <v>69</v>
      </c>
      <c r="H13" s="17">
        <v>46274</v>
      </c>
      <c r="I13" s="17">
        <v>46274</v>
      </c>
      <c r="J13" s="7">
        <v>672</v>
      </c>
      <c r="K13" s="30">
        <v>1.33</v>
      </c>
      <c r="L13" s="7">
        <v>25</v>
      </c>
      <c r="M13" s="29">
        <f t="shared" si="3"/>
        <v>26.88</v>
      </c>
      <c r="N13" s="7">
        <f t="shared" si="4"/>
        <v>893.76</v>
      </c>
      <c r="O13" s="7"/>
      <c r="P13" s="45" t="s">
        <v>111</v>
      </c>
      <c r="Q13" s="47">
        <v>560</v>
      </c>
      <c r="R13" s="47">
        <v>280</v>
      </c>
      <c r="S13" s="47">
        <v>200</v>
      </c>
      <c r="T13" s="43">
        <f t="shared" si="0"/>
        <v>3.1E-2</v>
      </c>
      <c r="U13" s="46">
        <f t="shared" si="5"/>
        <v>0.83327999999999991</v>
      </c>
      <c r="V13" s="7"/>
      <c r="W13" s="5">
        <v>2.59</v>
      </c>
      <c r="X13" s="5">
        <f t="shared" si="2"/>
        <v>1740.48</v>
      </c>
      <c r="Y13" s="6"/>
    </row>
    <row r="14" spans="1:26" x14ac:dyDescent="0.25">
      <c r="A14" s="2" t="s">
        <v>56</v>
      </c>
      <c r="B14" s="10" t="s">
        <v>12</v>
      </c>
      <c r="C14" s="2">
        <v>8568</v>
      </c>
      <c r="D14" s="2">
        <v>2610000109</v>
      </c>
      <c r="E14" s="2">
        <v>4372530001</v>
      </c>
      <c r="F14" s="2" t="s">
        <v>41</v>
      </c>
      <c r="G14" s="2" t="s">
        <v>70</v>
      </c>
      <c r="H14" s="17">
        <v>46274</v>
      </c>
      <c r="I14" s="17">
        <v>46274</v>
      </c>
      <c r="J14" s="7">
        <v>672</v>
      </c>
      <c r="K14" s="30">
        <v>0.56799999999999995</v>
      </c>
      <c r="L14" s="7">
        <v>35</v>
      </c>
      <c r="M14" s="29">
        <f t="shared" si="3"/>
        <v>19.2</v>
      </c>
      <c r="N14" s="7">
        <f t="shared" si="4"/>
        <v>381.69599999999997</v>
      </c>
      <c r="O14" s="7"/>
      <c r="P14" s="45" t="s">
        <v>112</v>
      </c>
      <c r="Q14" s="47">
        <v>500</v>
      </c>
      <c r="R14" s="47">
        <v>140</v>
      </c>
      <c r="S14" s="47">
        <v>110</v>
      </c>
      <c r="T14" s="43">
        <f t="shared" si="0"/>
        <v>8.0000000000000002E-3</v>
      </c>
      <c r="U14" s="46">
        <f t="shared" si="5"/>
        <v>0.15359999999999999</v>
      </c>
      <c r="V14" s="7"/>
      <c r="W14" s="5">
        <v>0.86</v>
      </c>
      <c r="X14" s="5">
        <f t="shared" si="2"/>
        <v>577.91999999999996</v>
      </c>
      <c r="Y14" s="6"/>
    </row>
    <row r="15" spans="1:26" x14ac:dyDescent="0.25">
      <c r="A15" s="2" t="s">
        <v>56</v>
      </c>
      <c r="B15" s="10" t="s">
        <v>12</v>
      </c>
      <c r="C15" s="2">
        <v>8568</v>
      </c>
      <c r="D15" s="2">
        <v>2610000109</v>
      </c>
      <c r="E15" s="2">
        <v>8163210604</v>
      </c>
      <c r="F15" s="2">
        <v>1632</v>
      </c>
      <c r="G15" s="2" t="s">
        <v>57</v>
      </c>
      <c r="H15" s="17">
        <v>46274</v>
      </c>
      <c r="I15" s="17">
        <v>46274</v>
      </c>
      <c r="J15" s="7">
        <v>900</v>
      </c>
      <c r="K15" s="30">
        <v>4.0968999999999998</v>
      </c>
      <c r="L15" s="7">
        <v>90</v>
      </c>
      <c r="M15" s="29">
        <f t="shared" si="3"/>
        <v>10</v>
      </c>
      <c r="N15" s="7">
        <f t="shared" si="4"/>
        <v>3687.2099999999996</v>
      </c>
      <c r="O15" s="7"/>
      <c r="P15" s="45" t="s">
        <v>102</v>
      </c>
      <c r="Q15" s="47">
        <v>1470</v>
      </c>
      <c r="R15" s="47">
        <v>1135</v>
      </c>
      <c r="S15" s="47">
        <v>925</v>
      </c>
      <c r="T15" s="43">
        <f t="shared" si="0"/>
        <v>1.5429999999999999</v>
      </c>
      <c r="U15" s="46">
        <f t="shared" si="5"/>
        <v>15.43</v>
      </c>
      <c r="V15" s="7"/>
      <c r="W15" s="5">
        <v>14.78</v>
      </c>
      <c r="X15" s="5">
        <f t="shared" si="2"/>
        <v>13302</v>
      </c>
      <c r="Y15" s="6"/>
    </row>
    <row r="16" spans="1:26" x14ac:dyDescent="0.25">
      <c r="A16" s="2" t="s">
        <v>56</v>
      </c>
      <c r="B16" s="10" t="s">
        <v>12</v>
      </c>
      <c r="C16" s="2">
        <v>8568</v>
      </c>
      <c r="D16" s="2">
        <v>2610000109</v>
      </c>
      <c r="E16" s="2">
        <v>8163220604</v>
      </c>
      <c r="F16" s="2">
        <v>1632</v>
      </c>
      <c r="G16" s="2" t="s">
        <v>58</v>
      </c>
      <c r="H16" s="17">
        <v>46274</v>
      </c>
      <c r="I16" s="17">
        <v>46274</v>
      </c>
      <c r="J16" s="7">
        <v>900</v>
      </c>
      <c r="K16" s="30">
        <v>4.0968999999999998</v>
      </c>
      <c r="L16" s="7">
        <v>90</v>
      </c>
      <c r="M16" s="29"/>
      <c r="N16" s="7">
        <f t="shared" si="4"/>
        <v>3687.2099999999996</v>
      </c>
      <c r="O16" s="7"/>
      <c r="P16" s="7"/>
      <c r="Q16" s="7"/>
      <c r="R16" s="7"/>
      <c r="S16" s="7"/>
      <c r="T16" s="43">
        <f t="shared" si="0"/>
        <v>0</v>
      </c>
      <c r="U16" s="46">
        <f t="shared" si="5"/>
        <v>0</v>
      </c>
      <c r="V16" s="7"/>
      <c r="W16" s="5">
        <v>14.78</v>
      </c>
      <c r="X16" s="5">
        <f t="shared" si="2"/>
        <v>13302</v>
      </c>
      <c r="Y16" s="6"/>
    </row>
    <row r="17" spans="1:25" x14ac:dyDescent="0.25">
      <c r="A17" s="2" t="s">
        <v>56</v>
      </c>
      <c r="B17" s="10" t="s">
        <v>12</v>
      </c>
      <c r="C17" s="2">
        <v>8568</v>
      </c>
      <c r="D17" s="2"/>
      <c r="E17" s="2" t="s">
        <v>59</v>
      </c>
      <c r="F17" s="2" t="s">
        <v>60</v>
      </c>
      <c r="G17" s="2" t="s">
        <v>60</v>
      </c>
      <c r="H17" s="17">
        <v>46274</v>
      </c>
      <c r="I17" s="17">
        <v>46274</v>
      </c>
      <c r="J17" s="7">
        <v>1</v>
      </c>
      <c r="K17" s="5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5">
        <v>7626</v>
      </c>
      <c r="X17" s="5">
        <f>J17*W17</f>
        <v>7626</v>
      </c>
      <c r="Y17" s="6"/>
    </row>
    <row r="18" spans="1:25" s="38" customFormat="1" x14ac:dyDescent="0.25">
      <c r="A18" s="32"/>
      <c r="B18" s="33"/>
      <c r="C18" s="32"/>
      <c r="D18" s="32"/>
      <c r="E18" s="32"/>
      <c r="F18" s="32"/>
      <c r="G18" s="32"/>
      <c r="H18" s="34"/>
      <c r="I18" s="34"/>
      <c r="J18" s="35"/>
      <c r="K18" s="57"/>
      <c r="L18" s="35"/>
      <c r="M18" s="35">
        <v>36</v>
      </c>
      <c r="N18" s="35">
        <f>SUM(N7:N17)</f>
        <v>18445.121999999999</v>
      </c>
      <c r="O18" s="35">
        <f>N18+(26*30)+(10*47)</f>
        <v>19695.121999999999</v>
      </c>
      <c r="P18" s="35"/>
      <c r="Q18" s="35"/>
      <c r="R18" s="35"/>
      <c r="S18" s="35"/>
      <c r="T18" s="35"/>
      <c r="U18" s="51">
        <f>SUM(U7:U17)</f>
        <v>38.835259999999991</v>
      </c>
      <c r="V18" s="35"/>
      <c r="W18" s="36"/>
      <c r="X18" s="36">
        <f>SUM(X7:X17)</f>
        <v>61507.92</v>
      </c>
      <c r="Y18" s="37"/>
    </row>
    <row r="19" spans="1:25" x14ac:dyDescent="0.25">
      <c r="A19" s="2" t="s">
        <v>81</v>
      </c>
      <c r="B19" s="10" t="s">
        <v>47</v>
      </c>
      <c r="C19" s="53" t="s">
        <v>82</v>
      </c>
      <c r="D19" s="22">
        <v>2610000099</v>
      </c>
      <c r="E19" s="2">
        <v>1220190004</v>
      </c>
      <c r="F19" s="2">
        <v>1220</v>
      </c>
      <c r="G19" s="2" t="s">
        <v>83</v>
      </c>
      <c r="H19" s="11">
        <v>46277</v>
      </c>
      <c r="I19" s="17">
        <v>46282</v>
      </c>
      <c r="J19" s="7">
        <v>4400</v>
      </c>
      <c r="K19" s="55">
        <v>2.0299999999999998</v>
      </c>
      <c r="L19" s="7">
        <v>200</v>
      </c>
      <c r="M19" s="29">
        <f t="shared" ref="M19:M25" si="6">J19/L19</f>
        <v>22</v>
      </c>
      <c r="N19" s="7">
        <f t="shared" ref="N19:N25" si="7">J19*K19</f>
        <v>8932</v>
      </c>
      <c r="O19" s="7"/>
      <c r="P19" s="41" t="s">
        <v>113</v>
      </c>
      <c r="Q19" s="48">
        <v>1140</v>
      </c>
      <c r="R19" s="48">
        <v>780</v>
      </c>
      <c r="S19" s="48">
        <v>840</v>
      </c>
      <c r="T19" s="49">
        <f t="shared" ref="T19:T20" si="8">ROUND((Q19*R19*S19)/1000000000,3)</f>
        <v>0.747</v>
      </c>
      <c r="U19" s="46">
        <f t="shared" ref="U19:U20" si="9">T19*M19</f>
        <v>16.434000000000001</v>
      </c>
      <c r="V19" s="7"/>
      <c r="W19" s="5">
        <v>3.34</v>
      </c>
      <c r="X19" s="5">
        <f>J19*W19</f>
        <v>14696</v>
      </c>
      <c r="Y19" s="6"/>
    </row>
    <row r="20" spans="1:25" x14ac:dyDescent="0.25">
      <c r="A20" s="2" t="s">
        <v>81</v>
      </c>
      <c r="B20" s="10" t="s">
        <v>47</v>
      </c>
      <c r="C20" s="2" t="s">
        <v>82</v>
      </c>
      <c r="D20" s="2">
        <v>2610000099</v>
      </c>
      <c r="E20" s="2">
        <v>1220200004</v>
      </c>
      <c r="F20" s="2">
        <v>1220</v>
      </c>
      <c r="G20" s="2" t="s">
        <v>84</v>
      </c>
      <c r="H20" s="11">
        <v>46277</v>
      </c>
      <c r="I20" s="17">
        <v>46282</v>
      </c>
      <c r="J20" s="7">
        <v>4400</v>
      </c>
      <c r="K20" s="55">
        <v>2.0299999999999998</v>
      </c>
      <c r="L20" s="7">
        <v>200</v>
      </c>
      <c r="M20" s="29">
        <f t="shared" si="6"/>
        <v>22</v>
      </c>
      <c r="N20" s="7">
        <f t="shared" si="7"/>
        <v>8932</v>
      </c>
      <c r="O20" s="7"/>
      <c r="P20" s="41" t="s">
        <v>113</v>
      </c>
      <c r="Q20" s="43">
        <v>1140</v>
      </c>
      <c r="R20" s="43">
        <v>780</v>
      </c>
      <c r="S20" s="43">
        <v>840</v>
      </c>
      <c r="T20" s="49">
        <f t="shared" si="8"/>
        <v>0.747</v>
      </c>
      <c r="U20" s="46">
        <f t="shared" si="9"/>
        <v>16.434000000000001</v>
      </c>
      <c r="V20" s="7"/>
      <c r="W20" s="5">
        <v>3.34</v>
      </c>
      <c r="X20" s="5">
        <f>J20*W20</f>
        <v>14696</v>
      </c>
      <c r="Y20" s="6"/>
    </row>
    <row r="21" spans="1:25" s="38" customFormat="1" x14ac:dyDescent="0.25">
      <c r="A21" s="32"/>
      <c r="B21" s="33"/>
      <c r="C21" s="32"/>
      <c r="D21" s="32"/>
      <c r="E21" s="32"/>
      <c r="F21" s="32"/>
      <c r="G21" s="32"/>
      <c r="H21" s="34"/>
      <c r="I21" s="34"/>
      <c r="J21" s="35"/>
      <c r="K21" s="57"/>
      <c r="L21" s="35"/>
      <c r="M21" s="35"/>
      <c r="N21" s="35">
        <f>SUM(N19:N20)</f>
        <v>17864</v>
      </c>
      <c r="O21" s="35">
        <f>N21+44*45</f>
        <v>19844</v>
      </c>
      <c r="P21" s="35"/>
      <c r="Q21" s="35"/>
      <c r="R21" s="35"/>
      <c r="S21" s="35"/>
      <c r="T21" s="35"/>
      <c r="U21" s="51">
        <f>SUM(U19:U20)</f>
        <v>32.868000000000002</v>
      </c>
      <c r="V21" s="35"/>
      <c r="W21" s="36"/>
      <c r="X21" s="36">
        <f>SUM(X19:X20)</f>
        <v>29392</v>
      </c>
      <c r="Y21" s="37"/>
    </row>
    <row r="22" spans="1:25" x14ac:dyDescent="0.25">
      <c r="A22" s="2" t="s">
        <v>73</v>
      </c>
      <c r="B22" s="10" t="s">
        <v>12</v>
      </c>
      <c r="C22" s="52">
        <v>64853</v>
      </c>
      <c r="D22" s="2">
        <v>2610000112</v>
      </c>
      <c r="E22" s="2">
        <v>8515210204</v>
      </c>
      <c r="F22" s="2">
        <v>5152</v>
      </c>
      <c r="G22" s="2" t="s">
        <v>74</v>
      </c>
      <c r="H22" s="11">
        <v>46277</v>
      </c>
      <c r="I22" s="11"/>
      <c r="J22" s="7">
        <v>1750</v>
      </c>
      <c r="K22" s="59">
        <v>4.3899999999999997</v>
      </c>
      <c r="L22" s="39">
        <v>70</v>
      </c>
      <c r="M22" s="29">
        <f t="shared" si="6"/>
        <v>25</v>
      </c>
      <c r="N22" s="7">
        <f t="shared" si="7"/>
        <v>7682.4999999999991</v>
      </c>
      <c r="O22" s="7"/>
      <c r="P22" s="42" t="s">
        <v>102</v>
      </c>
      <c r="Q22" s="43">
        <v>1470</v>
      </c>
      <c r="R22" s="43">
        <v>1135</v>
      </c>
      <c r="S22" s="43">
        <v>925</v>
      </c>
      <c r="T22" s="43">
        <f t="shared" ref="T22:T25" si="10">ROUND((Q22*R22*S22/1000000000),3)</f>
        <v>1.5429999999999999</v>
      </c>
      <c r="U22" s="46">
        <f>T22*M22</f>
        <v>38.574999999999996</v>
      </c>
      <c r="V22" s="7"/>
      <c r="W22" s="5">
        <v>7.63</v>
      </c>
      <c r="X22" s="5">
        <f>J22*W22</f>
        <v>13352.5</v>
      </c>
      <c r="Y22" s="6"/>
    </row>
    <row r="23" spans="1:25" x14ac:dyDescent="0.25">
      <c r="A23" s="2" t="s">
        <v>73</v>
      </c>
      <c r="B23" s="10" t="s">
        <v>12</v>
      </c>
      <c r="C23" s="2">
        <v>64853</v>
      </c>
      <c r="D23" s="2">
        <v>2610000112</v>
      </c>
      <c r="E23" s="2">
        <v>8515220204</v>
      </c>
      <c r="F23" s="9">
        <v>5152</v>
      </c>
      <c r="G23" s="2" t="s">
        <v>75</v>
      </c>
      <c r="H23" s="11">
        <v>46277</v>
      </c>
      <c r="I23" s="11"/>
      <c r="J23" s="7">
        <v>1750</v>
      </c>
      <c r="K23" s="60">
        <v>4.3899999999999997</v>
      </c>
      <c r="L23" s="41">
        <v>70</v>
      </c>
      <c r="M23" s="29">
        <f t="shared" si="6"/>
        <v>25</v>
      </c>
      <c r="N23" s="7">
        <f t="shared" si="7"/>
        <v>7682.4999999999991</v>
      </c>
      <c r="O23" s="7"/>
      <c r="P23" s="44">
        <v>0</v>
      </c>
      <c r="Q23" s="65">
        <v>0</v>
      </c>
      <c r="R23" s="43"/>
      <c r="S23" s="65">
        <v>0</v>
      </c>
      <c r="T23" s="43">
        <f t="shared" si="10"/>
        <v>0</v>
      </c>
      <c r="U23" s="46">
        <f t="shared" ref="U23:U25" si="11">T23*M23</f>
        <v>0</v>
      </c>
      <c r="V23" s="7"/>
      <c r="W23" s="5">
        <v>7.63</v>
      </c>
      <c r="X23" s="5">
        <f>J23*W23</f>
        <v>13352.5</v>
      </c>
      <c r="Y23" s="6"/>
    </row>
    <row r="24" spans="1:25" x14ac:dyDescent="0.25">
      <c r="A24" s="2" t="s">
        <v>73</v>
      </c>
      <c r="B24" s="2" t="s">
        <v>12</v>
      </c>
      <c r="C24" s="2">
        <v>64853</v>
      </c>
      <c r="D24" s="2">
        <v>2610000112</v>
      </c>
      <c r="E24" s="2">
        <v>1325730001</v>
      </c>
      <c r="F24" s="2" t="s">
        <v>41</v>
      </c>
      <c r="G24" s="2" t="s">
        <v>76</v>
      </c>
      <c r="H24" s="3">
        <v>46277</v>
      </c>
      <c r="I24" s="3"/>
      <c r="J24" s="7">
        <v>1750</v>
      </c>
      <c r="K24" s="60">
        <v>0.86599999999999999</v>
      </c>
      <c r="L24" s="41">
        <v>25</v>
      </c>
      <c r="M24" s="29">
        <f t="shared" si="6"/>
        <v>70</v>
      </c>
      <c r="N24" s="7">
        <f t="shared" si="7"/>
        <v>1515.5</v>
      </c>
      <c r="O24" s="7"/>
      <c r="P24" s="44" t="s">
        <v>103</v>
      </c>
      <c r="Q24" s="43">
        <v>470</v>
      </c>
      <c r="R24" s="43">
        <v>310</v>
      </c>
      <c r="S24" s="43">
        <v>215</v>
      </c>
      <c r="T24" s="43">
        <f t="shared" si="10"/>
        <v>3.1E-2</v>
      </c>
      <c r="U24" s="46">
        <f t="shared" si="11"/>
        <v>2.17</v>
      </c>
      <c r="V24" s="7"/>
      <c r="W24" s="5">
        <v>2.31</v>
      </c>
      <c r="X24" s="5">
        <f>J24*W24</f>
        <v>4042.5</v>
      </c>
      <c r="Y24" s="6"/>
    </row>
    <row r="25" spans="1:25" x14ac:dyDescent="0.25">
      <c r="A25" s="2" t="s">
        <v>73</v>
      </c>
      <c r="B25" s="2" t="s">
        <v>12</v>
      </c>
      <c r="C25" s="2">
        <v>64853</v>
      </c>
      <c r="D25" s="2">
        <v>2610000112</v>
      </c>
      <c r="E25" s="2">
        <v>1326830101</v>
      </c>
      <c r="F25" s="2" t="s">
        <v>41</v>
      </c>
      <c r="G25" s="2" t="s">
        <v>77</v>
      </c>
      <c r="H25" s="3">
        <v>46277</v>
      </c>
      <c r="I25" s="3"/>
      <c r="J25" s="7">
        <v>1750</v>
      </c>
      <c r="K25" s="60">
        <v>0.7</v>
      </c>
      <c r="L25" s="41">
        <v>25</v>
      </c>
      <c r="M25" s="29">
        <f t="shared" si="6"/>
        <v>70</v>
      </c>
      <c r="N25" s="7">
        <f t="shared" si="7"/>
        <v>1225</v>
      </c>
      <c r="O25" s="7"/>
      <c r="P25" s="44" t="s">
        <v>104</v>
      </c>
      <c r="Q25" s="45">
        <v>525</v>
      </c>
      <c r="R25" s="45">
        <v>230</v>
      </c>
      <c r="S25" s="45">
        <v>140</v>
      </c>
      <c r="T25" s="43">
        <f t="shared" si="10"/>
        <v>1.7000000000000001E-2</v>
      </c>
      <c r="U25" s="46">
        <f t="shared" si="11"/>
        <v>1.1900000000000002</v>
      </c>
      <c r="V25" s="7"/>
      <c r="W25" s="5">
        <v>1.79</v>
      </c>
      <c r="X25" s="5">
        <f>J25*W25</f>
        <v>3132.5</v>
      </c>
      <c r="Y25" s="6"/>
    </row>
    <row r="26" spans="1:25" s="38" customFormat="1" x14ac:dyDescent="0.25">
      <c r="A26" s="32"/>
      <c r="B26" s="33"/>
      <c r="C26" s="32"/>
      <c r="D26" s="32"/>
      <c r="E26" s="32"/>
      <c r="F26" s="32"/>
      <c r="G26" s="32"/>
      <c r="H26" s="34"/>
      <c r="I26" s="34"/>
      <c r="J26" s="35"/>
      <c r="K26" s="57"/>
      <c r="L26" s="35"/>
      <c r="M26" s="35"/>
      <c r="N26" s="35">
        <f>SUM(N22:N25)</f>
        <v>18105.5</v>
      </c>
      <c r="O26" s="35">
        <f>N26+(25*47)+2*30</f>
        <v>19340.5</v>
      </c>
      <c r="P26" s="35"/>
      <c r="Q26" s="35"/>
      <c r="R26" s="35"/>
      <c r="S26" s="35"/>
      <c r="T26" s="35"/>
      <c r="U26" s="51">
        <f>SUM(U22:U25)</f>
        <v>41.934999999999995</v>
      </c>
      <c r="V26" s="35"/>
      <c r="W26" s="36"/>
      <c r="X26" s="36">
        <f>SUM(X22:X25)</f>
        <v>33880</v>
      </c>
      <c r="Y26" s="37"/>
    </row>
    <row r="27" spans="1:25" x14ac:dyDescent="0.25">
      <c r="A27" s="2" t="s">
        <v>87</v>
      </c>
      <c r="B27" s="10" t="s">
        <v>47</v>
      </c>
      <c r="C27" s="52" t="s">
        <v>88</v>
      </c>
      <c r="D27" s="2">
        <v>2610000133</v>
      </c>
      <c r="E27" s="2">
        <v>8101010104</v>
      </c>
      <c r="F27" s="2">
        <v>1010</v>
      </c>
      <c r="G27" s="2" t="s">
        <v>79</v>
      </c>
      <c r="H27" s="16">
        <v>46279</v>
      </c>
      <c r="I27" s="16">
        <v>46279</v>
      </c>
      <c r="J27" s="7">
        <v>250</v>
      </c>
      <c r="K27" s="40">
        <v>1.32</v>
      </c>
      <c r="L27" s="39">
        <v>250</v>
      </c>
      <c r="M27" s="29">
        <f>J27/L27</f>
        <v>1</v>
      </c>
      <c r="N27" s="7">
        <f>J27*K27</f>
        <v>330</v>
      </c>
      <c r="O27" s="7"/>
      <c r="P27" s="7" t="s">
        <v>102</v>
      </c>
      <c r="Q27" s="7">
        <v>1470</v>
      </c>
      <c r="R27" s="7">
        <v>1135</v>
      </c>
      <c r="S27" s="7">
        <v>925</v>
      </c>
      <c r="T27" s="48">
        <f>ROUND((Q27*R27*S27)/1000000000,3)</f>
        <v>1.5429999999999999</v>
      </c>
      <c r="U27" s="46">
        <f t="shared" ref="U27:U42" si="12">T27*M27</f>
        <v>1.5429999999999999</v>
      </c>
      <c r="V27" s="7"/>
      <c r="W27" s="5">
        <v>3.07</v>
      </c>
      <c r="X27" s="5">
        <f t="shared" ref="X27:X42" si="13">J27*W27</f>
        <v>767.5</v>
      </c>
      <c r="Y27" s="6"/>
    </row>
    <row r="28" spans="1:25" x14ac:dyDescent="0.25">
      <c r="A28" s="2" t="s">
        <v>87</v>
      </c>
      <c r="B28" s="10" t="s">
        <v>47</v>
      </c>
      <c r="C28" s="2" t="s">
        <v>88</v>
      </c>
      <c r="D28" s="2">
        <v>2610000133</v>
      </c>
      <c r="E28" s="2">
        <v>8101020104</v>
      </c>
      <c r="F28" s="2">
        <v>1010</v>
      </c>
      <c r="G28" s="2" t="s">
        <v>80</v>
      </c>
      <c r="H28" s="16">
        <v>46279</v>
      </c>
      <c r="I28" s="16">
        <v>46279</v>
      </c>
      <c r="J28" s="7">
        <v>250</v>
      </c>
      <c r="K28" s="40">
        <v>1.32</v>
      </c>
      <c r="L28" s="39">
        <v>250</v>
      </c>
      <c r="M28" s="29"/>
      <c r="N28" s="7">
        <f t="shared" ref="N28:N42" si="14">J28*K28</f>
        <v>330</v>
      </c>
      <c r="O28" s="7"/>
      <c r="P28" s="7"/>
      <c r="Q28" s="7"/>
      <c r="R28" s="7"/>
      <c r="S28" s="7"/>
      <c r="T28" s="48">
        <f t="shared" ref="T28:T42" si="15">ROUND((Q28*R28*S28)/1000000000,3)</f>
        <v>0</v>
      </c>
      <c r="U28" s="46">
        <f t="shared" si="12"/>
        <v>0</v>
      </c>
      <c r="V28" s="7"/>
      <c r="W28" s="5">
        <v>3.07</v>
      </c>
      <c r="X28" s="5">
        <f t="shared" si="13"/>
        <v>767.5</v>
      </c>
      <c r="Y28" s="6"/>
    </row>
    <row r="29" spans="1:25" x14ac:dyDescent="0.25">
      <c r="A29" s="2" t="s">
        <v>87</v>
      </c>
      <c r="B29" s="10" t="s">
        <v>47</v>
      </c>
      <c r="C29" s="2" t="s">
        <v>88</v>
      </c>
      <c r="D29" s="2">
        <v>2610000133</v>
      </c>
      <c r="E29" s="2">
        <v>8163210604</v>
      </c>
      <c r="F29" s="2">
        <v>1632</v>
      </c>
      <c r="G29" s="2" t="s">
        <v>57</v>
      </c>
      <c r="H29" s="16">
        <v>46279</v>
      </c>
      <c r="I29" s="16">
        <v>46279</v>
      </c>
      <c r="J29" s="7">
        <v>270</v>
      </c>
      <c r="K29" s="40">
        <v>4.0968999999999998</v>
      </c>
      <c r="L29" s="39">
        <v>90</v>
      </c>
      <c r="M29" s="29">
        <f t="shared" ref="M29:M42" si="16">J29/L29</f>
        <v>3</v>
      </c>
      <c r="N29" s="7">
        <f t="shared" si="14"/>
        <v>1106.163</v>
      </c>
      <c r="O29" s="7"/>
      <c r="P29" s="7" t="s">
        <v>102</v>
      </c>
      <c r="Q29" s="7">
        <v>1470</v>
      </c>
      <c r="R29" s="7">
        <v>1135</v>
      </c>
      <c r="S29" s="7">
        <v>925</v>
      </c>
      <c r="T29" s="48">
        <f t="shared" si="15"/>
        <v>1.5429999999999999</v>
      </c>
      <c r="U29" s="46">
        <f t="shared" si="12"/>
        <v>4.6289999999999996</v>
      </c>
      <c r="V29" s="7"/>
      <c r="W29" s="5">
        <v>7.26</v>
      </c>
      <c r="X29" s="5">
        <f t="shared" si="13"/>
        <v>1960.2</v>
      </c>
      <c r="Y29" s="6"/>
    </row>
    <row r="30" spans="1:25" x14ac:dyDescent="0.25">
      <c r="A30" s="2" t="s">
        <v>87</v>
      </c>
      <c r="B30" s="10" t="s">
        <v>47</v>
      </c>
      <c r="C30" s="2" t="s">
        <v>88</v>
      </c>
      <c r="D30" s="2">
        <v>2610000133</v>
      </c>
      <c r="E30" s="2">
        <v>8163220604</v>
      </c>
      <c r="F30" s="2">
        <v>1632</v>
      </c>
      <c r="G30" s="2" t="s">
        <v>58</v>
      </c>
      <c r="H30" s="16">
        <v>46279</v>
      </c>
      <c r="I30" s="16">
        <v>46279</v>
      </c>
      <c r="J30" s="7">
        <v>270</v>
      </c>
      <c r="K30" s="40">
        <v>4.0968999999999998</v>
      </c>
      <c r="L30" s="39">
        <v>90</v>
      </c>
      <c r="M30" s="29"/>
      <c r="N30" s="7">
        <f t="shared" si="14"/>
        <v>1106.163</v>
      </c>
      <c r="O30" s="7"/>
      <c r="P30" s="7"/>
      <c r="Q30" s="7"/>
      <c r="R30" s="7"/>
      <c r="S30" s="7"/>
      <c r="T30" s="48">
        <f t="shared" si="15"/>
        <v>0</v>
      </c>
      <c r="U30" s="46">
        <f t="shared" si="12"/>
        <v>0</v>
      </c>
      <c r="V30" s="7"/>
      <c r="W30" s="5">
        <v>7.26</v>
      </c>
      <c r="X30" s="5">
        <f t="shared" si="13"/>
        <v>1960.2</v>
      </c>
      <c r="Y30" s="6"/>
    </row>
    <row r="31" spans="1:25" x14ac:dyDescent="0.25">
      <c r="A31" s="2" t="s">
        <v>87</v>
      </c>
      <c r="B31" s="10" t="s">
        <v>47</v>
      </c>
      <c r="C31" s="2" t="s">
        <v>88</v>
      </c>
      <c r="D31" s="2">
        <v>2610000133</v>
      </c>
      <c r="E31" s="2">
        <v>8167110304</v>
      </c>
      <c r="F31" s="2">
        <v>1671</v>
      </c>
      <c r="G31" s="2" t="s">
        <v>123</v>
      </c>
      <c r="H31" s="16">
        <v>46279</v>
      </c>
      <c r="I31" s="16">
        <v>46279</v>
      </c>
      <c r="J31" s="7">
        <v>140</v>
      </c>
      <c r="K31" s="40">
        <v>4.7699999999999996</v>
      </c>
      <c r="L31" s="39">
        <v>70</v>
      </c>
      <c r="M31" s="29">
        <f t="shared" si="16"/>
        <v>2</v>
      </c>
      <c r="N31" s="7">
        <f t="shared" si="14"/>
        <v>667.8</v>
      </c>
      <c r="O31" s="7"/>
      <c r="P31" s="7" t="s">
        <v>102</v>
      </c>
      <c r="Q31" s="7">
        <v>1470</v>
      </c>
      <c r="R31" s="7">
        <v>1135</v>
      </c>
      <c r="S31" s="7">
        <v>925</v>
      </c>
      <c r="T31" s="48">
        <f t="shared" si="15"/>
        <v>1.5429999999999999</v>
      </c>
      <c r="U31" s="46">
        <f t="shared" si="12"/>
        <v>3.0859999999999999</v>
      </c>
      <c r="V31" s="7"/>
      <c r="W31" s="5">
        <v>9.24</v>
      </c>
      <c r="X31" s="5">
        <f t="shared" si="13"/>
        <v>1293.6000000000001</v>
      </c>
      <c r="Y31" s="6"/>
    </row>
    <row r="32" spans="1:25" x14ac:dyDescent="0.25">
      <c r="A32" s="2" t="s">
        <v>87</v>
      </c>
      <c r="B32" s="10" t="s">
        <v>47</v>
      </c>
      <c r="C32" s="2" t="s">
        <v>88</v>
      </c>
      <c r="D32" s="2">
        <v>2610000133</v>
      </c>
      <c r="E32" s="2">
        <v>8167120304</v>
      </c>
      <c r="F32" s="2">
        <v>1671</v>
      </c>
      <c r="G32" s="2" t="s">
        <v>124</v>
      </c>
      <c r="H32" s="16">
        <v>46279</v>
      </c>
      <c r="I32" s="16">
        <v>46279</v>
      </c>
      <c r="J32" s="7">
        <v>140</v>
      </c>
      <c r="K32" s="40">
        <v>4.7699999999999996</v>
      </c>
      <c r="L32" s="39">
        <v>70</v>
      </c>
      <c r="M32" s="29"/>
      <c r="N32" s="7">
        <f t="shared" si="14"/>
        <v>667.8</v>
      </c>
      <c r="O32" s="7"/>
      <c r="P32" s="7"/>
      <c r="Q32" s="7"/>
      <c r="R32" s="7"/>
      <c r="S32" s="7"/>
      <c r="T32" s="48">
        <f t="shared" si="15"/>
        <v>0</v>
      </c>
      <c r="U32" s="46">
        <f t="shared" si="12"/>
        <v>0</v>
      </c>
      <c r="V32" s="7"/>
      <c r="W32" s="5">
        <v>9.24</v>
      </c>
      <c r="X32" s="5">
        <f t="shared" si="13"/>
        <v>1293.6000000000001</v>
      </c>
      <c r="Y32" s="6"/>
    </row>
    <row r="33" spans="1:25" x14ac:dyDescent="0.25">
      <c r="A33" s="2" t="s">
        <v>87</v>
      </c>
      <c r="B33" s="10" t="s">
        <v>47</v>
      </c>
      <c r="C33" s="2" t="s">
        <v>88</v>
      </c>
      <c r="D33" s="2">
        <v>2610000133</v>
      </c>
      <c r="E33" s="2">
        <v>8203210504</v>
      </c>
      <c r="F33" s="2">
        <v>2032</v>
      </c>
      <c r="G33" s="2" t="s">
        <v>125</v>
      </c>
      <c r="H33" s="16">
        <v>46279</v>
      </c>
      <c r="I33" s="16">
        <v>46279</v>
      </c>
      <c r="J33" s="7">
        <v>510</v>
      </c>
      <c r="K33" s="40">
        <v>4.2880000000000003</v>
      </c>
      <c r="L33" s="39">
        <v>85</v>
      </c>
      <c r="M33" s="29">
        <f t="shared" si="16"/>
        <v>6</v>
      </c>
      <c r="N33" s="7">
        <f t="shared" si="14"/>
        <v>2186.88</v>
      </c>
      <c r="O33" s="7"/>
      <c r="P33" s="7" t="s">
        <v>102</v>
      </c>
      <c r="Q33" s="7">
        <v>1470</v>
      </c>
      <c r="R33" s="7">
        <v>1135</v>
      </c>
      <c r="S33" s="7">
        <v>925</v>
      </c>
      <c r="T33" s="48">
        <f t="shared" si="15"/>
        <v>1.5429999999999999</v>
      </c>
      <c r="U33" s="46">
        <f t="shared" si="12"/>
        <v>9.2579999999999991</v>
      </c>
      <c r="V33" s="7"/>
      <c r="W33" s="5">
        <v>7.83</v>
      </c>
      <c r="X33" s="5">
        <f t="shared" si="13"/>
        <v>3993.3</v>
      </c>
      <c r="Y33" s="6"/>
    </row>
    <row r="34" spans="1:25" x14ac:dyDescent="0.25">
      <c r="A34" s="2" t="s">
        <v>87</v>
      </c>
      <c r="B34" s="10" t="s">
        <v>47</v>
      </c>
      <c r="C34" s="2" t="s">
        <v>88</v>
      </c>
      <c r="D34" s="2">
        <v>2610000133</v>
      </c>
      <c r="E34" s="2">
        <v>8203220504</v>
      </c>
      <c r="F34" s="2">
        <v>2032</v>
      </c>
      <c r="G34" s="2" t="s">
        <v>126</v>
      </c>
      <c r="H34" s="16">
        <v>46279</v>
      </c>
      <c r="I34" s="16">
        <v>46279</v>
      </c>
      <c r="J34" s="7">
        <v>510</v>
      </c>
      <c r="K34" s="40">
        <v>4.2880000000000003</v>
      </c>
      <c r="L34" s="39">
        <v>85</v>
      </c>
      <c r="M34" s="29"/>
      <c r="N34" s="7">
        <f t="shared" si="14"/>
        <v>2186.88</v>
      </c>
      <c r="O34" s="7"/>
      <c r="P34" s="7"/>
      <c r="Q34" s="7"/>
      <c r="R34" s="7"/>
      <c r="S34" s="7"/>
      <c r="T34" s="48">
        <f t="shared" si="15"/>
        <v>0</v>
      </c>
      <c r="U34" s="46">
        <f t="shared" si="12"/>
        <v>0</v>
      </c>
      <c r="V34" s="7"/>
      <c r="W34" s="5">
        <v>7.83</v>
      </c>
      <c r="X34" s="5">
        <f t="shared" si="13"/>
        <v>3993.3</v>
      </c>
      <c r="Y34" s="6"/>
    </row>
    <row r="35" spans="1:25" x14ac:dyDescent="0.25">
      <c r="A35" s="2" t="s">
        <v>87</v>
      </c>
      <c r="B35" s="10" t="s">
        <v>47</v>
      </c>
      <c r="C35" s="2" t="s">
        <v>88</v>
      </c>
      <c r="D35" s="2">
        <v>2610000133</v>
      </c>
      <c r="E35" s="2">
        <v>8207210404</v>
      </c>
      <c r="F35" s="2">
        <v>2072</v>
      </c>
      <c r="G35" s="2" t="s">
        <v>63</v>
      </c>
      <c r="H35" s="16">
        <v>46279</v>
      </c>
      <c r="I35" s="16">
        <v>46279</v>
      </c>
      <c r="J35" s="7">
        <v>70</v>
      </c>
      <c r="K35" s="40">
        <v>4.93</v>
      </c>
      <c r="L35" s="39">
        <v>70</v>
      </c>
      <c r="M35" s="29">
        <f t="shared" si="16"/>
        <v>1</v>
      </c>
      <c r="N35" s="7">
        <f t="shared" si="14"/>
        <v>345.09999999999997</v>
      </c>
      <c r="O35" s="7"/>
      <c r="P35" s="7" t="s">
        <v>102</v>
      </c>
      <c r="Q35" s="7">
        <v>1470</v>
      </c>
      <c r="R35" s="7">
        <v>1135</v>
      </c>
      <c r="S35" s="7">
        <v>925</v>
      </c>
      <c r="T35" s="48">
        <f t="shared" si="15"/>
        <v>1.5429999999999999</v>
      </c>
      <c r="U35" s="46">
        <f t="shared" si="12"/>
        <v>1.5429999999999999</v>
      </c>
      <c r="V35" s="7"/>
      <c r="W35" s="5">
        <v>9.76</v>
      </c>
      <c r="X35" s="5">
        <f t="shared" si="13"/>
        <v>683.19999999999993</v>
      </c>
      <c r="Y35" s="6"/>
    </row>
    <row r="36" spans="1:25" x14ac:dyDescent="0.25">
      <c r="A36" s="2" t="s">
        <v>87</v>
      </c>
      <c r="B36" s="10" t="s">
        <v>47</v>
      </c>
      <c r="C36" s="2" t="s">
        <v>88</v>
      </c>
      <c r="D36" s="2">
        <v>2610000133</v>
      </c>
      <c r="E36" s="2">
        <v>8207220404</v>
      </c>
      <c r="F36" s="2">
        <v>2072</v>
      </c>
      <c r="G36" s="2" t="s">
        <v>64</v>
      </c>
      <c r="H36" s="16">
        <v>46279</v>
      </c>
      <c r="I36" s="16">
        <v>46279</v>
      </c>
      <c r="J36" s="7">
        <v>70</v>
      </c>
      <c r="K36" s="40">
        <v>4.93</v>
      </c>
      <c r="L36" s="39">
        <v>70</v>
      </c>
      <c r="M36" s="29"/>
      <c r="N36" s="7">
        <f t="shared" si="14"/>
        <v>345.09999999999997</v>
      </c>
      <c r="O36" s="7"/>
      <c r="P36" s="7"/>
      <c r="Q36" s="7"/>
      <c r="R36" s="7"/>
      <c r="S36" s="7"/>
      <c r="T36" s="48">
        <f t="shared" si="15"/>
        <v>0</v>
      </c>
      <c r="U36" s="46">
        <f t="shared" si="12"/>
        <v>0</v>
      </c>
      <c r="V36" s="7"/>
      <c r="W36" s="5">
        <v>9.75</v>
      </c>
      <c r="X36" s="5">
        <f t="shared" si="13"/>
        <v>682.5</v>
      </c>
      <c r="Y36" s="6"/>
    </row>
    <row r="37" spans="1:25" x14ac:dyDescent="0.25">
      <c r="A37" s="2" t="s">
        <v>87</v>
      </c>
      <c r="B37" s="10" t="s">
        <v>47</v>
      </c>
      <c r="C37" s="2" t="s">
        <v>88</v>
      </c>
      <c r="D37" s="2">
        <v>2610000133</v>
      </c>
      <c r="E37" s="2">
        <v>8418110204</v>
      </c>
      <c r="F37" s="2">
        <v>4181</v>
      </c>
      <c r="G37" s="2" t="s">
        <v>50</v>
      </c>
      <c r="H37" s="16">
        <v>46279</v>
      </c>
      <c r="I37" s="16">
        <v>46279</v>
      </c>
      <c r="J37" s="7">
        <v>65</v>
      </c>
      <c r="K37" s="40">
        <v>4.8600000000000003</v>
      </c>
      <c r="L37" s="39">
        <v>65</v>
      </c>
      <c r="M37" s="29">
        <f t="shared" si="16"/>
        <v>1</v>
      </c>
      <c r="N37" s="7">
        <f t="shared" si="14"/>
        <v>315.90000000000003</v>
      </c>
      <c r="O37" s="7"/>
      <c r="P37" s="7" t="s">
        <v>102</v>
      </c>
      <c r="Q37" s="7">
        <v>1470</v>
      </c>
      <c r="R37" s="7">
        <v>1135</v>
      </c>
      <c r="S37" s="7">
        <v>925</v>
      </c>
      <c r="T37" s="48">
        <f t="shared" si="15"/>
        <v>1.5429999999999999</v>
      </c>
      <c r="U37" s="46">
        <f t="shared" si="12"/>
        <v>1.5429999999999999</v>
      </c>
      <c r="V37" s="7"/>
      <c r="W37" s="5">
        <v>8.27</v>
      </c>
      <c r="X37" s="5">
        <f t="shared" si="13"/>
        <v>537.54999999999995</v>
      </c>
      <c r="Y37" s="6"/>
    </row>
    <row r="38" spans="1:25" x14ac:dyDescent="0.25">
      <c r="A38" s="2" t="s">
        <v>87</v>
      </c>
      <c r="B38" s="10" t="s">
        <v>47</v>
      </c>
      <c r="C38" s="2" t="s">
        <v>88</v>
      </c>
      <c r="D38" s="2">
        <v>2610000133</v>
      </c>
      <c r="E38" s="2">
        <v>8418120204</v>
      </c>
      <c r="F38" s="2">
        <v>4181</v>
      </c>
      <c r="G38" s="2" t="s">
        <v>51</v>
      </c>
      <c r="H38" s="16">
        <v>46279</v>
      </c>
      <c r="I38" s="16">
        <v>46279</v>
      </c>
      <c r="J38" s="7">
        <v>65</v>
      </c>
      <c r="K38" s="40">
        <v>4.8600000000000003</v>
      </c>
      <c r="L38" s="39">
        <v>65</v>
      </c>
      <c r="M38" s="29"/>
      <c r="N38" s="7">
        <f t="shared" si="14"/>
        <v>315.90000000000003</v>
      </c>
      <c r="O38" s="7"/>
      <c r="P38" s="7"/>
      <c r="Q38" s="7"/>
      <c r="R38" s="7"/>
      <c r="S38" s="7"/>
      <c r="T38" s="48">
        <f t="shared" si="15"/>
        <v>0</v>
      </c>
      <c r="U38" s="46">
        <f t="shared" si="12"/>
        <v>0</v>
      </c>
      <c r="V38" s="7"/>
      <c r="W38" s="5">
        <v>8.2899999999999991</v>
      </c>
      <c r="X38" s="5">
        <f t="shared" si="13"/>
        <v>538.84999999999991</v>
      </c>
      <c r="Y38" s="6"/>
    </row>
    <row r="39" spans="1:25" x14ac:dyDescent="0.25">
      <c r="A39" s="2" t="s">
        <v>87</v>
      </c>
      <c r="B39" s="10" t="s">
        <v>47</v>
      </c>
      <c r="C39" s="2" t="s">
        <v>88</v>
      </c>
      <c r="D39" s="2">
        <v>2610000133</v>
      </c>
      <c r="E39" s="2">
        <v>8518110104</v>
      </c>
      <c r="F39" s="2">
        <v>5181</v>
      </c>
      <c r="G39" s="2" t="s">
        <v>48</v>
      </c>
      <c r="H39" s="16">
        <v>46279</v>
      </c>
      <c r="I39" s="16">
        <v>46279</v>
      </c>
      <c r="J39" s="7">
        <v>110</v>
      </c>
      <c r="K39" s="40">
        <v>5.6</v>
      </c>
      <c r="L39" s="39">
        <v>55</v>
      </c>
      <c r="M39" s="29">
        <f t="shared" si="16"/>
        <v>2</v>
      </c>
      <c r="N39" s="7">
        <f t="shared" si="14"/>
        <v>616</v>
      </c>
      <c r="O39" s="7"/>
      <c r="P39" s="7" t="s">
        <v>102</v>
      </c>
      <c r="Q39" s="7">
        <v>1470</v>
      </c>
      <c r="R39" s="7">
        <v>1135</v>
      </c>
      <c r="S39" s="7">
        <v>925</v>
      </c>
      <c r="T39" s="48">
        <f t="shared" si="15"/>
        <v>1.5429999999999999</v>
      </c>
      <c r="U39" s="46">
        <f t="shared" si="12"/>
        <v>3.0859999999999999</v>
      </c>
      <c r="V39" s="7"/>
      <c r="W39" s="5">
        <v>9.06</v>
      </c>
      <c r="X39" s="5">
        <f t="shared" si="13"/>
        <v>996.6</v>
      </c>
      <c r="Y39" s="6"/>
    </row>
    <row r="40" spans="1:25" x14ac:dyDescent="0.25">
      <c r="A40" s="2" t="s">
        <v>87</v>
      </c>
      <c r="B40" s="10" t="s">
        <v>47</v>
      </c>
      <c r="C40" s="2" t="s">
        <v>88</v>
      </c>
      <c r="D40" s="2">
        <v>2610000133</v>
      </c>
      <c r="E40" s="2">
        <v>8518120104</v>
      </c>
      <c r="F40" s="2">
        <v>5181</v>
      </c>
      <c r="G40" s="2" t="s">
        <v>49</v>
      </c>
      <c r="H40" s="16">
        <v>46279</v>
      </c>
      <c r="I40" s="16">
        <v>46279</v>
      </c>
      <c r="J40" s="7">
        <v>110</v>
      </c>
      <c r="K40" s="40">
        <v>5.6</v>
      </c>
      <c r="L40" s="39">
        <v>55</v>
      </c>
      <c r="M40" s="29"/>
      <c r="N40" s="7">
        <f t="shared" si="14"/>
        <v>616</v>
      </c>
      <c r="O40" s="7"/>
      <c r="P40" s="7"/>
      <c r="Q40" s="7"/>
      <c r="R40" s="7"/>
      <c r="S40" s="7"/>
      <c r="T40" s="48">
        <f t="shared" si="15"/>
        <v>0</v>
      </c>
      <c r="U40" s="46">
        <f t="shared" si="12"/>
        <v>0</v>
      </c>
      <c r="V40" s="7"/>
      <c r="W40" s="5">
        <v>9.06</v>
      </c>
      <c r="X40" s="5">
        <f t="shared" si="13"/>
        <v>996.6</v>
      </c>
      <c r="Y40" s="6"/>
    </row>
    <row r="41" spans="1:25" x14ac:dyDescent="0.25">
      <c r="A41" s="9" t="s">
        <v>87</v>
      </c>
      <c r="B41" s="10" t="s">
        <v>47</v>
      </c>
      <c r="C41" s="9" t="s">
        <v>89</v>
      </c>
      <c r="D41" s="9">
        <v>2610000134</v>
      </c>
      <c r="E41" s="9">
        <v>1220190004</v>
      </c>
      <c r="F41" s="2">
        <v>1220</v>
      </c>
      <c r="G41" s="2" t="s">
        <v>83</v>
      </c>
      <c r="H41" s="16">
        <v>46279</v>
      </c>
      <c r="I41" s="16">
        <v>46279</v>
      </c>
      <c r="J41" s="7">
        <v>1600</v>
      </c>
      <c r="K41" s="40">
        <v>2.0299999999999998</v>
      </c>
      <c r="L41" s="39">
        <v>200</v>
      </c>
      <c r="M41" s="29">
        <f t="shared" si="16"/>
        <v>8</v>
      </c>
      <c r="N41" s="7">
        <f t="shared" si="14"/>
        <v>3247.9999999999995</v>
      </c>
      <c r="O41" s="12"/>
      <c r="P41" s="12" t="s">
        <v>113</v>
      </c>
      <c r="Q41" s="12">
        <v>1140</v>
      </c>
      <c r="R41" s="12">
        <v>780</v>
      </c>
      <c r="S41" s="12">
        <v>840</v>
      </c>
      <c r="T41" s="48">
        <f t="shared" si="15"/>
        <v>0.747</v>
      </c>
      <c r="U41" s="46">
        <f t="shared" si="12"/>
        <v>5.976</v>
      </c>
      <c r="V41" s="12"/>
      <c r="W41" s="14">
        <v>3.44</v>
      </c>
      <c r="X41" s="14">
        <f t="shared" si="13"/>
        <v>5504</v>
      </c>
      <c r="Y41" s="6"/>
    </row>
    <row r="42" spans="1:25" x14ac:dyDescent="0.25">
      <c r="A42" s="2" t="s">
        <v>87</v>
      </c>
      <c r="B42" s="10" t="s">
        <v>47</v>
      </c>
      <c r="C42" s="2" t="s">
        <v>89</v>
      </c>
      <c r="D42" s="2">
        <v>2610000134</v>
      </c>
      <c r="E42" s="2">
        <v>1220200004</v>
      </c>
      <c r="F42" s="2">
        <v>1220</v>
      </c>
      <c r="G42" s="2" t="s">
        <v>84</v>
      </c>
      <c r="H42" s="16">
        <v>46279</v>
      </c>
      <c r="I42" s="16">
        <v>46279</v>
      </c>
      <c r="J42" s="7">
        <v>1600</v>
      </c>
      <c r="K42" s="40">
        <v>2.0299999999999998</v>
      </c>
      <c r="L42" s="39">
        <v>200</v>
      </c>
      <c r="M42" s="29">
        <f t="shared" si="16"/>
        <v>8</v>
      </c>
      <c r="N42" s="7">
        <f t="shared" si="14"/>
        <v>3247.9999999999995</v>
      </c>
      <c r="O42" s="7"/>
      <c r="P42" s="7" t="s">
        <v>113</v>
      </c>
      <c r="Q42" s="7">
        <v>1140</v>
      </c>
      <c r="R42" s="7">
        <v>780</v>
      </c>
      <c r="S42" s="7">
        <v>840</v>
      </c>
      <c r="T42" s="48">
        <f t="shared" si="15"/>
        <v>0.747</v>
      </c>
      <c r="U42" s="46">
        <f t="shared" si="12"/>
        <v>5.976</v>
      </c>
      <c r="V42" s="7"/>
      <c r="W42" s="5">
        <v>3.44</v>
      </c>
      <c r="X42" s="5">
        <f t="shared" si="13"/>
        <v>5504</v>
      </c>
      <c r="Y42" s="6"/>
    </row>
    <row r="43" spans="1:25" s="38" customFormat="1" x14ac:dyDescent="0.25">
      <c r="A43" s="32"/>
      <c r="B43" s="33"/>
      <c r="C43" s="32"/>
      <c r="D43" s="32"/>
      <c r="E43" s="32"/>
      <c r="F43" s="32"/>
      <c r="G43" s="32"/>
      <c r="H43" s="34"/>
      <c r="I43" s="34"/>
      <c r="J43" s="35"/>
      <c r="K43" s="57"/>
      <c r="L43" s="35"/>
      <c r="M43" s="35">
        <f>SUM(M27:M42)</f>
        <v>32</v>
      </c>
      <c r="N43" s="35">
        <f>SUM(N27:N42)</f>
        <v>17631.686000000002</v>
      </c>
      <c r="O43" s="35">
        <f>N43+32*47</f>
        <v>19135.686000000002</v>
      </c>
      <c r="P43" s="35"/>
      <c r="Q43" s="35"/>
      <c r="R43" s="35"/>
      <c r="S43" s="35"/>
      <c r="T43" s="35"/>
      <c r="U43" s="35">
        <f>SUM(U27:U42)</f>
        <v>36.639999999999993</v>
      </c>
      <c r="V43" s="35"/>
      <c r="W43" s="36"/>
      <c r="X43" s="36">
        <f>SUM(X27:X42)</f>
        <v>31472.499999999996</v>
      </c>
      <c r="Y43" s="37"/>
    </row>
    <row r="44" spans="1:25" x14ac:dyDescent="0.25">
      <c r="A44" s="9" t="s">
        <v>46</v>
      </c>
      <c r="B44" s="10" t="s">
        <v>47</v>
      </c>
      <c r="C44" s="54" t="s">
        <v>86</v>
      </c>
      <c r="D44" s="9">
        <v>2610000126</v>
      </c>
      <c r="E44" s="9">
        <v>8334310104</v>
      </c>
      <c r="F44" s="9">
        <v>3343</v>
      </c>
      <c r="G44" s="9" t="s">
        <v>115</v>
      </c>
      <c r="H44" s="16">
        <v>46284</v>
      </c>
      <c r="I44" s="16">
        <v>46283</v>
      </c>
      <c r="J44" s="12">
        <v>40</v>
      </c>
      <c r="K44" s="58">
        <v>5.6</v>
      </c>
      <c r="L44" s="12">
        <v>40</v>
      </c>
      <c r="M44" s="12">
        <f>J44/L44</f>
        <v>1</v>
      </c>
      <c r="N44" s="12">
        <f>J44*K44</f>
        <v>224</v>
      </c>
      <c r="O44" s="12"/>
      <c r="P44" s="12" t="s">
        <v>102</v>
      </c>
      <c r="Q44" s="12">
        <v>1470</v>
      </c>
      <c r="R44" s="12">
        <v>1135</v>
      </c>
      <c r="S44" s="12">
        <v>925</v>
      </c>
      <c r="T44" s="58">
        <v>1.5429999999999999</v>
      </c>
      <c r="U44" s="58">
        <f>T44*M44</f>
        <v>1.5429999999999999</v>
      </c>
      <c r="V44" s="12"/>
      <c r="W44" s="14">
        <v>7.85</v>
      </c>
      <c r="X44" s="14">
        <f t="shared" ref="X44:X55" si="17">J44*W44</f>
        <v>314</v>
      </c>
      <c r="Y44" s="6"/>
    </row>
    <row r="45" spans="1:25" x14ac:dyDescent="0.25">
      <c r="A45" s="9" t="s">
        <v>46</v>
      </c>
      <c r="B45" s="10" t="s">
        <v>47</v>
      </c>
      <c r="C45" s="9" t="s">
        <v>86</v>
      </c>
      <c r="D45" s="9">
        <v>2610000126</v>
      </c>
      <c r="E45" s="9">
        <v>8334320104</v>
      </c>
      <c r="F45" s="15">
        <v>3343</v>
      </c>
      <c r="G45" s="2" t="s">
        <v>116</v>
      </c>
      <c r="H45" s="16">
        <v>46284</v>
      </c>
      <c r="I45" s="16">
        <v>46283</v>
      </c>
      <c r="J45" s="12">
        <v>40</v>
      </c>
      <c r="K45" s="58">
        <v>5.6</v>
      </c>
      <c r="L45" s="12">
        <v>40</v>
      </c>
      <c r="M45" s="12"/>
      <c r="N45" s="12">
        <f t="shared" ref="N45:N55" si="18">J45*K45</f>
        <v>224</v>
      </c>
      <c r="O45" s="12"/>
      <c r="P45" s="12"/>
      <c r="Q45" s="12"/>
      <c r="R45" s="12"/>
      <c r="S45" s="12"/>
      <c r="T45" s="12">
        <v>0</v>
      </c>
      <c r="U45" s="58">
        <f t="shared" ref="U45:U55" si="19">T45*M45</f>
        <v>0</v>
      </c>
      <c r="V45" s="12"/>
      <c r="W45" s="14">
        <v>7.85</v>
      </c>
      <c r="X45" s="14">
        <f t="shared" si="17"/>
        <v>314</v>
      </c>
      <c r="Y45" s="6"/>
    </row>
    <row r="46" spans="1:25" x14ac:dyDescent="0.25">
      <c r="A46" s="9" t="s">
        <v>46</v>
      </c>
      <c r="B46" s="10" t="s">
        <v>47</v>
      </c>
      <c r="C46" s="9" t="s">
        <v>86</v>
      </c>
      <c r="D46" s="9">
        <v>2610000126</v>
      </c>
      <c r="E46" s="9">
        <v>8502510204</v>
      </c>
      <c r="F46" s="15">
        <v>5025</v>
      </c>
      <c r="G46" s="2" t="s">
        <v>54</v>
      </c>
      <c r="H46" s="16">
        <v>46284</v>
      </c>
      <c r="I46" s="16">
        <v>46283</v>
      </c>
      <c r="J46" s="12">
        <v>378</v>
      </c>
      <c r="K46" s="58">
        <v>5.57</v>
      </c>
      <c r="L46" s="12">
        <v>54</v>
      </c>
      <c r="M46" s="12">
        <f t="shared" ref="M46:M54" si="20">J46/L46</f>
        <v>7</v>
      </c>
      <c r="N46" s="12">
        <f t="shared" si="18"/>
        <v>2105.46</v>
      </c>
      <c r="O46" s="12"/>
      <c r="P46" s="7" t="s">
        <v>102</v>
      </c>
      <c r="Q46" s="7">
        <v>1470</v>
      </c>
      <c r="R46" s="7">
        <v>1135</v>
      </c>
      <c r="S46" s="7">
        <v>925</v>
      </c>
      <c r="T46" s="48">
        <f t="shared" ref="T46:T55" si="21">ROUND((Q46*R46*S46)/1000000000,3)</f>
        <v>1.5429999999999999</v>
      </c>
      <c r="U46" s="58">
        <f t="shared" si="19"/>
        <v>10.801</v>
      </c>
      <c r="V46" s="12"/>
      <c r="W46" s="14">
        <v>9.7799999999999994</v>
      </c>
      <c r="X46" s="14">
        <f t="shared" si="17"/>
        <v>3696.8399999999997</v>
      </c>
      <c r="Y46" s="6"/>
    </row>
    <row r="47" spans="1:25" x14ac:dyDescent="0.25">
      <c r="A47" s="9" t="s">
        <v>46</v>
      </c>
      <c r="B47" s="10" t="s">
        <v>47</v>
      </c>
      <c r="C47" s="9" t="s">
        <v>86</v>
      </c>
      <c r="D47" s="9">
        <v>2610000126</v>
      </c>
      <c r="E47" s="9">
        <v>8502520204</v>
      </c>
      <c r="F47" s="15">
        <v>5025</v>
      </c>
      <c r="G47" s="2" t="s">
        <v>55</v>
      </c>
      <c r="H47" s="16">
        <v>46284</v>
      </c>
      <c r="I47" s="16">
        <v>46283</v>
      </c>
      <c r="J47" s="12">
        <v>378</v>
      </c>
      <c r="K47" s="58">
        <v>5.57</v>
      </c>
      <c r="L47" s="12">
        <v>54</v>
      </c>
      <c r="M47" s="12"/>
      <c r="N47" s="12">
        <f t="shared" si="18"/>
        <v>2105.46</v>
      </c>
      <c r="O47" s="12"/>
      <c r="P47" s="7"/>
      <c r="Q47" s="7"/>
      <c r="R47" s="7"/>
      <c r="S47" s="7"/>
      <c r="T47" s="48">
        <f t="shared" si="21"/>
        <v>0</v>
      </c>
      <c r="U47" s="58">
        <f t="shared" si="19"/>
        <v>0</v>
      </c>
      <c r="V47" s="12"/>
      <c r="W47" s="14">
        <v>9.7799999999999994</v>
      </c>
      <c r="X47" s="14">
        <f t="shared" si="17"/>
        <v>3696.8399999999997</v>
      </c>
      <c r="Y47" s="6"/>
    </row>
    <row r="48" spans="1:25" x14ac:dyDescent="0.25">
      <c r="A48" s="9" t="s">
        <v>46</v>
      </c>
      <c r="B48" s="10" t="s">
        <v>47</v>
      </c>
      <c r="C48" s="9" t="s">
        <v>86</v>
      </c>
      <c r="D48" s="9">
        <v>2610000126</v>
      </c>
      <c r="E48" s="9">
        <v>8510810304</v>
      </c>
      <c r="F48" s="15">
        <v>5108</v>
      </c>
      <c r="G48" s="2" t="s">
        <v>117</v>
      </c>
      <c r="H48" s="16">
        <v>46284</v>
      </c>
      <c r="I48" s="16">
        <v>46283</v>
      </c>
      <c r="J48" s="12">
        <v>448</v>
      </c>
      <c r="K48" s="58">
        <v>5.59</v>
      </c>
      <c r="L48" s="12">
        <v>56</v>
      </c>
      <c r="M48" s="12">
        <f t="shared" si="20"/>
        <v>8</v>
      </c>
      <c r="N48" s="12">
        <f t="shared" si="18"/>
        <v>2504.3199999999997</v>
      </c>
      <c r="O48" s="12"/>
      <c r="P48" s="7" t="s">
        <v>102</v>
      </c>
      <c r="Q48" s="7">
        <v>1470</v>
      </c>
      <c r="R48" s="7">
        <v>1135</v>
      </c>
      <c r="S48" s="7">
        <v>925</v>
      </c>
      <c r="T48" s="48">
        <f t="shared" si="21"/>
        <v>1.5429999999999999</v>
      </c>
      <c r="U48" s="58">
        <f t="shared" si="19"/>
        <v>12.343999999999999</v>
      </c>
      <c r="V48" s="12"/>
      <c r="W48" s="14">
        <v>7.11</v>
      </c>
      <c r="X48" s="14">
        <f t="shared" si="17"/>
        <v>3185.28</v>
      </c>
      <c r="Y48" s="6"/>
    </row>
    <row r="49" spans="1:25" x14ac:dyDescent="0.25">
      <c r="A49" s="9" t="s">
        <v>46</v>
      </c>
      <c r="B49" s="10" t="s">
        <v>47</v>
      </c>
      <c r="C49" s="9" t="s">
        <v>86</v>
      </c>
      <c r="D49" s="9">
        <v>2610000126</v>
      </c>
      <c r="E49" s="9">
        <v>8510820304</v>
      </c>
      <c r="F49" s="15">
        <v>5108</v>
      </c>
      <c r="G49" s="2" t="s">
        <v>118</v>
      </c>
      <c r="H49" s="16">
        <v>46284</v>
      </c>
      <c r="I49" s="16">
        <v>46283</v>
      </c>
      <c r="J49" s="12">
        <v>448</v>
      </c>
      <c r="K49" s="58">
        <v>5.59</v>
      </c>
      <c r="L49" s="12">
        <v>56</v>
      </c>
      <c r="M49" s="12"/>
      <c r="N49" s="12">
        <f t="shared" si="18"/>
        <v>2504.3199999999997</v>
      </c>
      <c r="O49" s="12"/>
      <c r="P49" s="7"/>
      <c r="Q49" s="7"/>
      <c r="R49" s="7"/>
      <c r="S49" s="7"/>
      <c r="T49" s="48">
        <f t="shared" si="21"/>
        <v>0</v>
      </c>
      <c r="U49" s="58">
        <f t="shared" si="19"/>
        <v>0</v>
      </c>
      <c r="V49" s="12"/>
      <c r="W49" s="14">
        <v>7.11</v>
      </c>
      <c r="X49" s="14">
        <f t="shared" si="17"/>
        <v>3185.28</v>
      </c>
      <c r="Y49" s="6"/>
    </row>
    <row r="50" spans="1:25" x14ac:dyDescent="0.25">
      <c r="A50" s="9" t="s">
        <v>46</v>
      </c>
      <c r="B50" s="10" t="s">
        <v>47</v>
      </c>
      <c r="C50" s="9" t="s">
        <v>86</v>
      </c>
      <c r="D50" s="9">
        <v>2610000126</v>
      </c>
      <c r="E50" s="9">
        <v>8518310204</v>
      </c>
      <c r="F50" s="15">
        <v>5183</v>
      </c>
      <c r="G50" s="2" t="s">
        <v>52</v>
      </c>
      <c r="H50" s="16">
        <v>46284</v>
      </c>
      <c r="I50" s="16">
        <v>46283</v>
      </c>
      <c r="J50" s="12">
        <v>275</v>
      </c>
      <c r="K50" s="58">
        <v>5.74</v>
      </c>
      <c r="L50" s="12">
        <v>55</v>
      </c>
      <c r="M50" s="12">
        <f t="shared" si="20"/>
        <v>5</v>
      </c>
      <c r="N50" s="12">
        <f t="shared" si="18"/>
        <v>1578.5</v>
      </c>
      <c r="O50" s="12"/>
      <c r="P50" s="7" t="s">
        <v>102</v>
      </c>
      <c r="Q50" s="7">
        <v>1470</v>
      </c>
      <c r="R50" s="7">
        <v>1135</v>
      </c>
      <c r="S50" s="7">
        <v>925</v>
      </c>
      <c r="T50" s="48">
        <f t="shared" si="21"/>
        <v>1.5429999999999999</v>
      </c>
      <c r="U50" s="58">
        <f t="shared" si="19"/>
        <v>7.7149999999999999</v>
      </c>
      <c r="V50" s="12"/>
      <c r="W50" s="14">
        <v>9.16</v>
      </c>
      <c r="X50" s="14">
        <f t="shared" si="17"/>
        <v>2519</v>
      </c>
      <c r="Y50" s="6"/>
    </row>
    <row r="51" spans="1:25" x14ac:dyDescent="0.25">
      <c r="A51" s="9" t="s">
        <v>46</v>
      </c>
      <c r="B51" s="10" t="s">
        <v>47</v>
      </c>
      <c r="C51" s="9" t="s">
        <v>86</v>
      </c>
      <c r="D51" s="9">
        <v>2610000126</v>
      </c>
      <c r="E51" s="9">
        <v>8518320204</v>
      </c>
      <c r="F51" s="15">
        <v>5183</v>
      </c>
      <c r="G51" s="2" t="s">
        <v>53</v>
      </c>
      <c r="H51" s="16">
        <v>46284</v>
      </c>
      <c r="I51" s="16">
        <v>46283</v>
      </c>
      <c r="J51" s="12">
        <v>275</v>
      </c>
      <c r="K51" s="58">
        <v>5.74</v>
      </c>
      <c r="L51" s="12">
        <v>55</v>
      </c>
      <c r="M51" s="12"/>
      <c r="N51" s="12">
        <f t="shared" si="18"/>
        <v>1578.5</v>
      </c>
      <c r="O51" s="12"/>
      <c r="P51" s="7"/>
      <c r="Q51" s="7"/>
      <c r="R51" s="7"/>
      <c r="S51" s="7"/>
      <c r="T51" s="48">
        <f t="shared" si="21"/>
        <v>0</v>
      </c>
      <c r="U51" s="58">
        <f t="shared" si="19"/>
        <v>0</v>
      </c>
      <c r="V51" s="12"/>
      <c r="W51" s="14">
        <v>9.16</v>
      </c>
      <c r="X51" s="14">
        <f t="shared" si="17"/>
        <v>2519</v>
      </c>
      <c r="Y51" s="6"/>
    </row>
    <row r="52" spans="1:25" x14ac:dyDescent="0.25">
      <c r="A52" s="9" t="s">
        <v>46</v>
      </c>
      <c r="B52" s="10" t="s">
        <v>47</v>
      </c>
      <c r="C52" s="9" t="s">
        <v>86</v>
      </c>
      <c r="D52" s="9">
        <v>2610000126</v>
      </c>
      <c r="E52" s="9">
        <v>8603210204</v>
      </c>
      <c r="F52" s="15">
        <v>6032</v>
      </c>
      <c r="G52" s="2" t="s">
        <v>119</v>
      </c>
      <c r="H52" s="16">
        <v>46284</v>
      </c>
      <c r="I52" s="16">
        <v>46283</v>
      </c>
      <c r="J52" s="12">
        <v>56</v>
      </c>
      <c r="K52" s="58">
        <v>5.14</v>
      </c>
      <c r="L52" s="12">
        <v>56</v>
      </c>
      <c r="M52" s="12">
        <f t="shared" si="20"/>
        <v>1</v>
      </c>
      <c r="N52" s="12">
        <f t="shared" si="18"/>
        <v>287.83999999999997</v>
      </c>
      <c r="O52" s="12"/>
      <c r="P52" s="7" t="s">
        <v>102</v>
      </c>
      <c r="Q52" s="7">
        <v>1470</v>
      </c>
      <c r="R52" s="7">
        <v>1135</v>
      </c>
      <c r="S52" s="7">
        <v>925</v>
      </c>
      <c r="T52" s="48">
        <f t="shared" si="21"/>
        <v>1.5429999999999999</v>
      </c>
      <c r="U52" s="58">
        <f t="shared" si="19"/>
        <v>1.5429999999999999</v>
      </c>
      <c r="V52" s="12"/>
      <c r="W52" s="14">
        <v>6.69</v>
      </c>
      <c r="X52" s="14">
        <f t="shared" si="17"/>
        <v>374.64000000000004</v>
      </c>
      <c r="Y52" s="6"/>
    </row>
    <row r="53" spans="1:25" x14ac:dyDescent="0.25">
      <c r="A53" s="9" t="s">
        <v>46</v>
      </c>
      <c r="B53" s="10" t="s">
        <v>47</v>
      </c>
      <c r="C53" s="9" t="s">
        <v>86</v>
      </c>
      <c r="D53" s="9">
        <v>2610000126</v>
      </c>
      <c r="E53" s="9">
        <v>8603220204</v>
      </c>
      <c r="F53" s="15">
        <v>6032</v>
      </c>
      <c r="G53" s="2" t="s">
        <v>120</v>
      </c>
      <c r="H53" s="16">
        <v>46284</v>
      </c>
      <c r="I53" s="16">
        <v>46283</v>
      </c>
      <c r="J53" s="12">
        <v>56</v>
      </c>
      <c r="K53" s="58">
        <v>5.14</v>
      </c>
      <c r="L53" s="12">
        <v>56</v>
      </c>
      <c r="M53" s="12"/>
      <c r="N53" s="12">
        <f t="shared" si="18"/>
        <v>287.83999999999997</v>
      </c>
      <c r="O53" s="12"/>
      <c r="P53" s="7"/>
      <c r="Q53" s="7"/>
      <c r="R53" s="7"/>
      <c r="S53" s="7"/>
      <c r="T53" s="48">
        <f t="shared" si="21"/>
        <v>0</v>
      </c>
      <c r="U53" s="58">
        <f t="shared" si="19"/>
        <v>0</v>
      </c>
      <c r="V53" s="12"/>
      <c r="W53" s="14">
        <v>6.69</v>
      </c>
      <c r="X53" s="14">
        <f t="shared" si="17"/>
        <v>374.64000000000004</v>
      </c>
      <c r="Y53" s="6"/>
    </row>
    <row r="54" spans="1:25" x14ac:dyDescent="0.25">
      <c r="A54" s="9" t="s">
        <v>46</v>
      </c>
      <c r="B54" s="10" t="s">
        <v>47</v>
      </c>
      <c r="C54" s="9" t="s">
        <v>86</v>
      </c>
      <c r="D54" s="9">
        <v>2610000126</v>
      </c>
      <c r="E54" s="9">
        <v>8881710004</v>
      </c>
      <c r="F54" s="15">
        <v>8817</v>
      </c>
      <c r="G54" s="2" t="s">
        <v>121</v>
      </c>
      <c r="H54" s="16">
        <v>46284</v>
      </c>
      <c r="I54" s="16">
        <v>46283</v>
      </c>
      <c r="J54" s="12">
        <v>224</v>
      </c>
      <c r="K54" s="58">
        <v>5.37</v>
      </c>
      <c r="L54" s="12">
        <v>56</v>
      </c>
      <c r="M54" s="12">
        <f t="shared" si="20"/>
        <v>4</v>
      </c>
      <c r="N54" s="12">
        <f t="shared" si="18"/>
        <v>1202.8800000000001</v>
      </c>
      <c r="O54" s="12"/>
      <c r="P54" s="7" t="s">
        <v>102</v>
      </c>
      <c r="Q54" s="7">
        <v>1470</v>
      </c>
      <c r="R54" s="7">
        <v>1135</v>
      </c>
      <c r="S54" s="7">
        <v>925</v>
      </c>
      <c r="T54" s="48">
        <f t="shared" si="21"/>
        <v>1.5429999999999999</v>
      </c>
      <c r="U54" s="58">
        <f t="shared" si="19"/>
        <v>6.1719999999999997</v>
      </c>
      <c r="V54" s="12"/>
      <c r="W54" s="14">
        <v>7.39</v>
      </c>
      <c r="X54" s="14">
        <f t="shared" si="17"/>
        <v>1655.36</v>
      </c>
      <c r="Y54" s="6"/>
    </row>
    <row r="55" spans="1:25" x14ac:dyDescent="0.25">
      <c r="A55" s="9" t="s">
        <v>46</v>
      </c>
      <c r="B55" s="10" t="s">
        <v>47</v>
      </c>
      <c r="C55" s="9" t="s">
        <v>86</v>
      </c>
      <c r="D55" s="9">
        <v>2610000126</v>
      </c>
      <c r="E55" s="9">
        <v>8881720004</v>
      </c>
      <c r="F55" s="15">
        <v>8817</v>
      </c>
      <c r="G55" s="2" t="s">
        <v>122</v>
      </c>
      <c r="H55" s="16">
        <v>46284</v>
      </c>
      <c r="I55" s="16">
        <v>46283</v>
      </c>
      <c r="J55" s="12">
        <v>224</v>
      </c>
      <c r="K55" s="58">
        <v>5.37</v>
      </c>
      <c r="L55" s="12">
        <v>56</v>
      </c>
      <c r="M55" s="12"/>
      <c r="N55" s="12">
        <f t="shared" si="18"/>
        <v>1202.8800000000001</v>
      </c>
      <c r="O55" s="12"/>
      <c r="P55" s="7"/>
      <c r="Q55" s="7"/>
      <c r="R55" s="7"/>
      <c r="S55" s="7"/>
      <c r="T55" s="48">
        <f t="shared" si="21"/>
        <v>0</v>
      </c>
      <c r="U55" s="58">
        <f t="shared" si="19"/>
        <v>0</v>
      </c>
      <c r="V55" s="12"/>
      <c r="W55" s="14">
        <v>7.39</v>
      </c>
      <c r="X55" s="14">
        <f t="shared" si="17"/>
        <v>1655.36</v>
      </c>
      <c r="Y55" s="6"/>
    </row>
    <row r="56" spans="1:25" s="38" customFormat="1" x14ac:dyDescent="0.25">
      <c r="A56" s="32"/>
      <c r="B56" s="33"/>
      <c r="C56" s="32"/>
      <c r="D56" s="32"/>
      <c r="E56" s="32"/>
      <c r="F56" s="32"/>
      <c r="G56" s="32"/>
      <c r="H56" s="34"/>
      <c r="I56" s="34"/>
      <c r="J56" s="35"/>
      <c r="K56" s="57"/>
      <c r="L56" s="35"/>
      <c r="M56" s="35">
        <f>SUM(M44:M55)</f>
        <v>26</v>
      </c>
      <c r="N56" s="35">
        <f>SUM(N44:N55)</f>
        <v>15806</v>
      </c>
      <c r="O56" s="35">
        <f>N56+26*47</f>
        <v>17028</v>
      </c>
      <c r="P56" s="35"/>
      <c r="Q56" s="35"/>
      <c r="R56" s="35"/>
      <c r="S56" s="35"/>
      <c r="T56" s="35"/>
      <c r="U56" s="35">
        <f>SUM(U44:U55)</f>
        <v>40.117999999999995</v>
      </c>
      <c r="V56" s="35"/>
      <c r="W56" s="36"/>
      <c r="X56" s="36">
        <f>SUM(X44:X55)</f>
        <v>23490.240000000002</v>
      </c>
      <c r="Y56" s="37"/>
    </row>
    <row r="57" spans="1:25" x14ac:dyDescent="0.25">
      <c r="A57" s="9" t="s">
        <v>81</v>
      </c>
      <c r="B57" s="10" t="s">
        <v>47</v>
      </c>
      <c r="C57" s="54" t="s">
        <v>85</v>
      </c>
      <c r="D57" s="9">
        <v>2610000110</v>
      </c>
      <c r="E57" s="9">
        <v>1220190004</v>
      </c>
      <c r="F57" s="15">
        <v>1220</v>
      </c>
      <c r="G57" s="13" t="s">
        <v>83</v>
      </c>
      <c r="H57" s="17">
        <v>46286</v>
      </c>
      <c r="I57" s="17">
        <v>46286</v>
      </c>
      <c r="J57" s="12">
        <v>4400</v>
      </c>
      <c r="K57" s="58">
        <v>2.0299999999999998</v>
      </c>
      <c r="L57" s="12">
        <v>200</v>
      </c>
      <c r="M57" s="29">
        <f t="shared" ref="M57:M87" si="22">J57/L57</f>
        <v>22</v>
      </c>
      <c r="N57" s="7">
        <f t="shared" ref="N57:N58" si="23">J57*K57</f>
        <v>8932</v>
      </c>
      <c r="O57" s="12"/>
      <c r="P57" s="41" t="s">
        <v>113</v>
      </c>
      <c r="Q57" s="48">
        <v>1140</v>
      </c>
      <c r="R57" s="48">
        <v>780</v>
      </c>
      <c r="S57" s="48">
        <v>840</v>
      </c>
      <c r="T57" s="49">
        <f t="shared" ref="T57:T58" si="24">ROUND((Q57*R57*S57)/1000000000,3)</f>
        <v>0.747</v>
      </c>
      <c r="U57" s="50">
        <f t="shared" ref="U57:U58" si="25">T57*M57</f>
        <v>16.434000000000001</v>
      </c>
      <c r="V57" s="12"/>
      <c r="W57" s="14">
        <v>3.34</v>
      </c>
      <c r="X57" s="14">
        <f>J57*W57</f>
        <v>14696</v>
      </c>
      <c r="Y57" s="6"/>
    </row>
    <row r="58" spans="1:25" x14ac:dyDescent="0.25">
      <c r="A58" s="2" t="s">
        <v>81</v>
      </c>
      <c r="B58" s="10" t="s">
        <v>47</v>
      </c>
      <c r="C58" s="2" t="s">
        <v>85</v>
      </c>
      <c r="D58" s="2">
        <v>2610000110</v>
      </c>
      <c r="E58" s="2">
        <v>1220200004</v>
      </c>
      <c r="F58" s="2">
        <v>1220</v>
      </c>
      <c r="G58" s="2" t="s">
        <v>84</v>
      </c>
      <c r="H58" s="16">
        <v>46286</v>
      </c>
      <c r="I58" s="16">
        <v>46286</v>
      </c>
      <c r="J58" s="7">
        <v>4400</v>
      </c>
      <c r="K58" s="55">
        <v>2.0299999999999998</v>
      </c>
      <c r="L58" s="7">
        <v>200</v>
      </c>
      <c r="M58" s="29">
        <f t="shared" si="22"/>
        <v>22</v>
      </c>
      <c r="N58" s="7">
        <f t="shared" si="23"/>
        <v>8932</v>
      </c>
      <c r="O58" s="7"/>
      <c r="P58" s="41" t="s">
        <v>113</v>
      </c>
      <c r="Q58" s="43">
        <v>1140</v>
      </c>
      <c r="R58" s="43">
        <v>780</v>
      </c>
      <c r="S58" s="43">
        <v>840</v>
      </c>
      <c r="T58" s="49">
        <f t="shared" si="24"/>
        <v>0.747</v>
      </c>
      <c r="U58" s="50">
        <f t="shared" si="25"/>
        <v>16.434000000000001</v>
      </c>
      <c r="V58" s="7"/>
      <c r="W58" s="5">
        <v>3.34</v>
      </c>
      <c r="X58" s="14">
        <f>J58*W58</f>
        <v>14696</v>
      </c>
      <c r="Y58" s="6"/>
    </row>
    <row r="59" spans="1:25" s="38" customFormat="1" x14ac:dyDescent="0.25">
      <c r="A59" s="32"/>
      <c r="B59" s="33"/>
      <c r="C59" s="32"/>
      <c r="D59" s="32"/>
      <c r="E59" s="32"/>
      <c r="F59" s="32"/>
      <c r="G59" s="32"/>
      <c r="H59" s="34"/>
      <c r="I59" s="34"/>
      <c r="J59" s="35"/>
      <c r="K59" s="57"/>
      <c r="L59" s="35"/>
      <c r="M59" s="35"/>
      <c r="N59" s="35">
        <f>SUM(N57:N58)</f>
        <v>17864</v>
      </c>
      <c r="O59" s="35">
        <f>N59+44*45</f>
        <v>19844</v>
      </c>
      <c r="P59" s="35"/>
      <c r="Q59" s="35"/>
      <c r="R59" s="35"/>
      <c r="S59" s="35"/>
      <c r="T59" s="35"/>
      <c r="U59" s="51">
        <f>SUM(U57:U58)</f>
        <v>32.868000000000002</v>
      </c>
      <c r="V59" s="35"/>
      <c r="W59" s="36"/>
      <c r="X59" s="36">
        <f>SUM(X57:X58)</f>
        <v>29392</v>
      </c>
      <c r="Y59" s="37"/>
    </row>
    <row r="60" spans="1:25" x14ac:dyDescent="0.25">
      <c r="A60" s="2" t="s">
        <v>11</v>
      </c>
      <c r="B60" s="10" t="s">
        <v>12</v>
      </c>
      <c r="C60" s="2">
        <v>436581</v>
      </c>
      <c r="D60" s="2">
        <v>2610000147</v>
      </c>
      <c r="E60" s="2">
        <v>8838310104</v>
      </c>
      <c r="F60" s="2">
        <v>8383</v>
      </c>
      <c r="G60" s="2" t="s">
        <v>23</v>
      </c>
      <c r="H60" s="16">
        <v>46287</v>
      </c>
      <c r="I60" s="16">
        <v>46287</v>
      </c>
      <c r="J60" s="7">
        <v>440</v>
      </c>
      <c r="K60" s="55">
        <v>6.36</v>
      </c>
      <c r="L60" s="7">
        <v>55</v>
      </c>
      <c r="M60" s="29">
        <f t="shared" si="22"/>
        <v>8</v>
      </c>
      <c r="N60" s="7">
        <f>J60*K60</f>
        <v>2798.4</v>
      </c>
      <c r="O60" s="7"/>
      <c r="P60" s="7" t="s">
        <v>102</v>
      </c>
      <c r="Q60" s="7">
        <v>1470</v>
      </c>
      <c r="R60" s="7">
        <v>1135</v>
      </c>
      <c r="S60" s="7">
        <v>925</v>
      </c>
      <c r="T60" s="48">
        <f t="shared" ref="T60:T67" si="26">ROUND((Q60*R60*S60)/1000000000,3)</f>
        <v>1.5429999999999999</v>
      </c>
      <c r="U60" s="58">
        <f t="shared" ref="U60:U67" si="27">T60*M60</f>
        <v>12.343999999999999</v>
      </c>
      <c r="V60" s="7"/>
      <c r="W60" s="5">
        <v>11.7</v>
      </c>
      <c r="X60" s="5">
        <f t="shared" ref="X60:X67" si="28">J60*W60</f>
        <v>5148</v>
      </c>
      <c r="Y60" s="6"/>
    </row>
    <row r="61" spans="1:25" x14ac:dyDescent="0.25">
      <c r="A61" s="2" t="s">
        <v>11</v>
      </c>
      <c r="B61" s="10" t="s">
        <v>12</v>
      </c>
      <c r="C61" s="2">
        <v>436581</v>
      </c>
      <c r="D61" s="2">
        <v>2610000147</v>
      </c>
      <c r="E61" s="2">
        <v>8838320104</v>
      </c>
      <c r="F61" s="2">
        <v>8383</v>
      </c>
      <c r="G61" s="2" t="s">
        <v>24</v>
      </c>
      <c r="H61" s="16">
        <v>46287</v>
      </c>
      <c r="I61" s="16">
        <v>46287</v>
      </c>
      <c r="J61" s="7">
        <v>440</v>
      </c>
      <c r="K61" s="55">
        <v>6.36</v>
      </c>
      <c r="L61" s="7">
        <v>55</v>
      </c>
      <c r="M61" s="29"/>
      <c r="N61" s="7">
        <f t="shared" ref="N61:N109" si="29">J61*K61</f>
        <v>2798.4</v>
      </c>
      <c r="O61" s="7"/>
      <c r="P61" s="7"/>
      <c r="Q61" s="7"/>
      <c r="R61" s="7"/>
      <c r="S61" s="7"/>
      <c r="T61" s="48">
        <f t="shared" si="26"/>
        <v>0</v>
      </c>
      <c r="U61" s="58">
        <f t="shared" si="27"/>
        <v>0</v>
      </c>
      <c r="V61" s="7"/>
      <c r="W61" s="5">
        <v>11.7</v>
      </c>
      <c r="X61" s="5">
        <f t="shared" si="28"/>
        <v>5148</v>
      </c>
      <c r="Y61" s="6"/>
    </row>
    <row r="62" spans="1:25" x14ac:dyDescent="0.25">
      <c r="A62" s="2" t="s">
        <v>11</v>
      </c>
      <c r="B62" s="10" t="s">
        <v>12</v>
      </c>
      <c r="C62" s="2">
        <v>436581</v>
      </c>
      <c r="D62" s="2">
        <v>2610000147</v>
      </c>
      <c r="E62" s="2">
        <v>8580210004</v>
      </c>
      <c r="F62" s="2">
        <v>5802</v>
      </c>
      <c r="G62" s="2" t="s">
        <v>39</v>
      </c>
      <c r="H62" s="16">
        <v>46287</v>
      </c>
      <c r="I62" s="16">
        <v>46287</v>
      </c>
      <c r="J62" s="7">
        <v>480</v>
      </c>
      <c r="K62" s="55">
        <v>5.29</v>
      </c>
      <c r="L62" s="7">
        <v>80</v>
      </c>
      <c r="M62" s="29">
        <f t="shared" si="22"/>
        <v>6</v>
      </c>
      <c r="N62" s="7">
        <f t="shared" si="29"/>
        <v>2539.1999999999998</v>
      </c>
      <c r="O62" s="7"/>
      <c r="P62" s="7" t="s">
        <v>102</v>
      </c>
      <c r="Q62" s="7">
        <v>1470</v>
      </c>
      <c r="R62" s="7">
        <v>1135</v>
      </c>
      <c r="S62" s="7">
        <v>925</v>
      </c>
      <c r="T62" s="48">
        <f t="shared" si="26"/>
        <v>1.5429999999999999</v>
      </c>
      <c r="U62" s="58">
        <f t="shared" si="27"/>
        <v>9.2579999999999991</v>
      </c>
      <c r="V62" s="7"/>
      <c r="W62" s="5">
        <v>10.66</v>
      </c>
      <c r="X62" s="5">
        <f t="shared" si="28"/>
        <v>5116.8</v>
      </c>
      <c r="Y62" s="6"/>
    </row>
    <row r="63" spans="1:25" x14ac:dyDescent="0.25">
      <c r="A63" s="2" t="s">
        <v>11</v>
      </c>
      <c r="B63" s="10" t="s">
        <v>12</v>
      </c>
      <c r="C63" s="2">
        <v>436581</v>
      </c>
      <c r="D63" s="2">
        <v>2610000147</v>
      </c>
      <c r="E63" s="2">
        <v>8580220004</v>
      </c>
      <c r="F63" s="2">
        <v>5802</v>
      </c>
      <c r="G63" s="2" t="s">
        <v>40</v>
      </c>
      <c r="H63" s="16">
        <v>46287</v>
      </c>
      <c r="I63" s="16">
        <v>46287</v>
      </c>
      <c r="J63" s="7">
        <v>480</v>
      </c>
      <c r="K63" s="55">
        <v>5.29</v>
      </c>
      <c r="L63" s="7">
        <v>80</v>
      </c>
      <c r="M63" s="29"/>
      <c r="N63" s="7">
        <f t="shared" si="29"/>
        <v>2539.1999999999998</v>
      </c>
      <c r="O63" s="7"/>
      <c r="P63" s="7"/>
      <c r="Q63" s="7"/>
      <c r="R63" s="7"/>
      <c r="S63" s="7"/>
      <c r="T63" s="48">
        <f t="shared" si="26"/>
        <v>0</v>
      </c>
      <c r="U63" s="58">
        <f t="shared" si="27"/>
        <v>0</v>
      </c>
      <c r="V63" s="7"/>
      <c r="W63" s="5">
        <v>10.66</v>
      </c>
      <c r="X63" s="5">
        <f t="shared" si="28"/>
        <v>5116.8</v>
      </c>
      <c r="Y63" s="6"/>
    </row>
    <row r="64" spans="1:25" x14ac:dyDescent="0.25">
      <c r="A64" s="2" t="s">
        <v>11</v>
      </c>
      <c r="B64" s="10" t="s">
        <v>12</v>
      </c>
      <c r="C64" s="2">
        <v>436581</v>
      </c>
      <c r="D64" s="2">
        <v>2610000147</v>
      </c>
      <c r="E64" s="2">
        <v>8835310004</v>
      </c>
      <c r="F64" s="2">
        <v>8353</v>
      </c>
      <c r="G64" s="2" t="s">
        <v>13</v>
      </c>
      <c r="H64" s="16">
        <v>46287</v>
      </c>
      <c r="I64" s="16">
        <v>46287</v>
      </c>
      <c r="J64" s="7">
        <v>525</v>
      </c>
      <c r="K64" s="55">
        <v>4.8499999999999996</v>
      </c>
      <c r="L64" s="7">
        <v>75</v>
      </c>
      <c r="M64" s="29">
        <f t="shared" si="22"/>
        <v>7</v>
      </c>
      <c r="N64" s="7">
        <f t="shared" si="29"/>
        <v>2546.25</v>
      </c>
      <c r="O64" s="7"/>
      <c r="P64" s="7" t="s">
        <v>102</v>
      </c>
      <c r="Q64" s="7">
        <v>1470</v>
      </c>
      <c r="R64" s="7">
        <v>1135</v>
      </c>
      <c r="S64" s="7">
        <v>925</v>
      </c>
      <c r="T64" s="48">
        <f t="shared" si="26"/>
        <v>1.5429999999999999</v>
      </c>
      <c r="U64" s="58">
        <f t="shared" si="27"/>
        <v>10.801</v>
      </c>
      <c r="V64" s="7"/>
      <c r="W64" s="5">
        <v>7.95</v>
      </c>
      <c r="X64" s="4">
        <f t="shared" si="28"/>
        <v>4173.75</v>
      </c>
      <c r="Y64" s="6"/>
    </row>
    <row r="65" spans="1:25" x14ac:dyDescent="0.25">
      <c r="A65" s="2" t="s">
        <v>11</v>
      </c>
      <c r="B65" s="10" t="s">
        <v>12</v>
      </c>
      <c r="C65" s="2">
        <v>436581</v>
      </c>
      <c r="D65" s="2">
        <v>2610000147</v>
      </c>
      <c r="E65" s="2">
        <v>8835320004</v>
      </c>
      <c r="F65" s="2">
        <v>8353</v>
      </c>
      <c r="G65" s="2" t="s">
        <v>14</v>
      </c>
      <c r="H65" s="16">
        <v>46287</v>
      </c>
      <c r="I65" s="16">
        <v>46287</v>
      </c>
      <c r="J65" s="7">
        <v>525</v>
      </c>
      <c r="K65" s="55">
        <v>4.8499999999999996</v>
      </c>
      <c r="L65" s="7">
        <v>75</v>
      </c>
      <c r="M65" s="29"/>
      <c r="N65" s="7">
        <f t="shared" si="29"/>
        <v>2546.25</v>
      </c>
      <c r="O65" s="7"/>
      <c r="P65" s="7"/>
      <c r="Q65" s="7"/>
      <c r="R65" s="7"/>
      <c r="S65" s="7"/>
      <c r="T65" s="48">
        <f t="shared" si="26"/>
        <v>0</v>
      </c>
      <c r="U65" s="58">
        <f t="shared" si="27"/>
        <v>0</v>
      </c>
      <c r="V65" s="7"/>
      <c r="W65" s="5">
        <v>7.95</v>
      </c>
      <c r="X65" s="4">
        <f t="shared" si="28"/>
        <v>4173.75</v>
      </c>
      <c r="Y65" s="6"/>
    </row>
    <row r="66" spans="1:25" x14ac:dyDescent="0.25">
      <c r="A66" s="2" t="s">
        <v>11</v>
      </c>
      <c r="B66" s="10" t="s">
        <v>12</v>
      </c>
      <c r="C66" s="2">
        <v>436581</v>
      </c>
      <c r="D66" s="2">
        <v>2610000147</v>
      </c>
      <c r="E66" s="2">
        <v>8832310004</v>
      </c>
      <c r="F66" s="2">
        <v>8323</v>
      </c>
      <c r="G66" s="2" t="s">
        <v>17</v>
      </c>
      <c r="H66" s="16">
        <v>46287</v>
      </c>
      <c r="I66" s="16">
        <v>46287</v>
      </c>
      <c r="J66" s="7">
        <v>224</v>
      </c>
      <c r="K66" s="55">
        <v>5.73</v>
      </c>
      <c r="L66" s="7">
        <v>56</v>
      </c>
      <c r="M66" s="29">
        <f t="shared" si="22"/>
        <v>4</v>
      </c>
      <c r="N66" s="7">
        <f t="shared" si="29"/>
        <v>1283.52</v>
      </c>
      <c r="O66" s="7"/>
      <c r="P66" s="7" t="s">
        <v>102</v>
      </c>
      <c r="Q66" s="7">
        <v>1470</v>
      </c>
      <c r="R66" s="7">
        <v>1135</v>
      </c>
      <c r="S66" s="7">
        <v>925</v>
      </c>
      <c r="T66" s="48">
        <f t="shared" si="26"/>
        <v>1.5429999999999999</v>
      </c>
      <c r="U66" s="58">
        <f t="shared" si="27"/>
        <v>6.1719999999999997</v>
      </c>
      <c r="V66" s="7"/>
      <c r="W66" s="5">
        <v>8.4700000000000006</v>
      </c>
      <c r="X66" s="4">
        <f t="shared" si="28"/>
        <v>1897.2800000000002</v>
      </c>
      <c r="Y66" s="6"/>
    </row>
    <row r="67" spans="1:25" x14ac:dyDescent="0.25">
      <c r="A67" s="2" t="s">
        <v>11</v>
      </c>
      <c r="B67" s="10" t="s">
        <v>12</v>
      </c>
      <c r="C67" s="2">
        <v>436581</v>
      </c>
      <c r="D67" s="2">
        <v>2610000147</v>
      </c>
      <c r="E67" s="2">
        <v>8832320004</v>
      </c>
      <c r="F67" s="2">
        <v>8323</v>
      </c>
      <c r="G67" s="2" t="s">
        <v>18</v>
      </c>
      <c r="H67" s="16">
        <v>46287</v>
      </c>
      <c r="I67" s="16">
        <v>46287</v>
      </c>
      <c r="J67" s="7">
        <v>224</v>
      </c>
      <c r="K67" s="55">
        <v>5.73</v>
      </c>
      <c r="L67" s="7">
        <v>56</v>
      </c>
      <c r="M67" s="29"/>
      <c r="N67" s="7">
        <f t="shared" si="29"/>
        <v>1283.52</v>
      </c>
      <c r="O67" s="7"/>
      <c r="P67" s="7"/>
      <c r="Q67" s="7"/>
      <c r="R67" s="7"/>
      <c r="S67" s="7"/>
      <c r="T67" s="48">
        <f t="shared" si="26"/>
        <v>0</v>
      </c>
      <c r="U67" s="58">
        <f t="shared" si="27"/>
        <v>0</v>
      </c>
      <c r="V67" s="7"/>
      <c r="W67" s="5">
        <v>8.4700000000000006</v>
      </c>
      <c r="X67" s="4">
        <f t="shared" si="28"/>
        <v>1897.2800000000002</v>
      </c>
      <c r="Y67" s="6"/>
    </row>
    <row r="68" spans="1:25" s="38" customFormat="1" x14ac:dyDescent="0.25">
      <c r="A68" s="32"/>
      <c r="B68" s="33"/>
      <c r="C68" s="32"/>
      <c r="D68" s="32"/>
      <c r="E68" s="32"/>
      <c r="F68" s="32"/>
      <c r="G68" s="32"/>
      <c r="H68" s="34"/>
      <c r="I68" s="34"/>
      <c r="J68" s="35"/>
      <c r="K68" s="57"/>
      <c r="L68" s="35"/>
      <c r="M68" s="35">
        <f>SUM(M60:M67)</f>
        <v>25</v>
      </c>
      <c r="N68" s="35">
        <f>SUM(N60:N67)</f>
        <v>18334.740000000002</v>
      </c>
      <c r="O68" s="35">
        <f>N68+47*25</f>
        <v>19509.740000000002</v>
      </c>
      <c r="P68" s="35"/>
      <c r="Q68" s="35"/>
      <c r="R68" s="35"/>
      <c r="S68" s="35"/>
      <c r="T68" s="35"/>
      <c r="U68" s="35">
        <f>SUM(U60:U67)</f>
        <v>38.574999999999996</v>
      </c>
      <c r="V68" s="35"/>
      <c r="W68" s="36"/>
      <c r="X68" s="36">
        <f>SUM(X60:X67)</f>
        <v>32671.659999999996</v>
      </c>
      <c r="Y68" s="37"/>
    </row>
    <row r="69" spans="1:25" x14ac:dyDescent="0.25">
      <c r="A69" s="2" t="s">
        <v>11</v>
      </c>
      <c r="B69" s="10" t="s">
        <v>12</v>
      </c>
      <c r="C69" s="2">
        <v>436582</v>
      </c>
      <c r="D69" s="2">
        <v>2610000148</v>
      </c>
      <c r="E69" s="2">
        <v>8563410004</v>
      </c>
      <c r="F69" s="2">
        <v>5634</v>
      </c>
      <c r="G69" s="2" t="s">
        <v>31</v>
      </c>
      <c r="H69" s="16">
        <v>46287</v>
      </c>
      <c r="I69" s="16">
        <v>46287</v>
      </c>
      <c r="J69" s="7">
        <v>208</v>
      </c>
      <c r="K69" s="55">
        <v>6.3540000000000001</v>
      </c>
      <c r="L69" s="7">
        <v>52</v>
      </c>
      <c r="M69" s="29">
        <f t="shared" si="22"/>
        <v>4</v>
      </c>
      <c r="N69" s="7">
        <f t="shared" si="29"/>
        <v>1321.6320000000001</v>
      </c>
      <c r="O69" s="7"/>
      <c r="P69" s="7" t="s">
        <v>102</v>
      </c>
      <c r="Q69" s="7">
        <v>1470</v>
      </c>
      <c r="R69" s="7">
        <v>1135</v>
      </c>
      <c r="S69" s="7">
        <v>925</v>
      </c>
      <c r="T69" s="48">
        <f t="shared" ref="T69:T78" si="30">ROUND((Q69*R69*S69)/1000000000,3)</f>
        <v>1.5429999999999999</v>
      </c>
      <c r="U69" s="58">
        <f t="shared" ref="U69:U78" si="31">T69*M69</f>
        <v>6.1719999999999997</v>
      </c>
      <c r="V69" s="7"/>
      <c r="W69" s="5">
        <v>12.24</v>
      </c>
      <c r="X69" s="4">
        <f t="shared" ref="X69:X78" si="32">J69*W69</f>
        <v>2545.92</v>
      </c>
      <c r="Y69" s="6"/>
    </row>
    <row r="70" spans="1:25" x14ac:dyDescent="0.25">
      <c r="A70" s="2" t="s">
        <v>11</v>
      </c>
      <c r="B70" s="10" t="s">
        <v>12</v>
      </c>
      <c r="C70" s="2">
        <v>436582</v>
      </c>
      <c r="D70" s="2">
        <v>2610000148</v>
      </c>
      <c r="E70" s="2">
        <v>8563420004</v>
      </c>
      <c r="F70" s="2">
        <v>5634</v>
      </c>
      <c r="G70" s="2" t="s">
        <v>32</v>
      </c>
      <c r="H70" s="16">
        <v>46287</v>
      </c>
      <c r="I70" s="16">
        <v>46287</v>
      </c>
      <c r="J70" s="7">
        <v>208</v>
      </c>
      <c r="K70" s="55">
        <v>6.3540000000000001</v>
      </c>
      <c r="L70" s="7">
        <v>52</v>
      </c>
      <c r="M70" s="29"/>
      <c r="N70" s="7">
        <f t="shared" si="29"/>
        <v>1321.6320000000001</v>
      </c>
      <c r="O70" s="7"/>
      <c r="P70" s="7"/>
      <c r="Q70" s="7"/>
      <c r="R70" s="7"/>
      <c r="S70" s="7"/>
      <c r="T70" s="48">
        <f t="shared" si="30"/>
        <v>0</v>
      </c>
      <c r="U70" s="58">
        <f t="shared" si="31"/>
        <v>0</v>
      </c>
      <c r="V70" s="7"/>
      <c r="W70" s="5">
        <v>12.24</v>
      </c>
      <c r="X70" s="4">
        <f t="shared" si="32"/>
        <v>2545.92</v>
      </c>
      <c r="Y70" s="6"/>
    </row>
    <row r="71" spans="1:25" x14ac:dyDescent="0.25">
      <c r="A71" s="2" t="s">
        <v>11</v>
      </c>
      <c r="B71" s="10" t="s">
        <v>12</v>
      </c>
      <c r="C71" s="2">
        <v>436582</v>
      </c>
      <c r="D71" s="2">
        <v>2610000148</v>
      </c>
      <c r="E71" s="2">
        <v>8580210004</v>
      </c>
      <c r="F71" s="2">
        <v>5802</v>
      </c>
      <c r="G71" s="2" t="s">
        <v>39</v>
      </c>
      <c r="H71" s="16">
        <v>46287</v>
      </c>
      <c r="I71" s="16">
        <v>46287</v>
      </c>
      <c r="J71" s="7">
        <v>320</v>
      </c>
      <c r="K71" s="55">
        <v>5.29</v>
      </c>
      <c r="L71" s="7">
        <v>80</v>
      </c>
      <c r="M71" s="29">
        <f t="shared" si="22"/>
        <v>4</v>
      </c>
      <c r="N71" s="7">
        <f t="shared" si="29"/>
        <v>1692.8</v>
      </c>
      <c r="O71" s="7"/>
      <c r="P71" s="7" t="s">
        <v>102</v>
      </c>
      <c r="Q71" s="7">
        <v>1470</v>
      </c>
      <c r="R71" s="7">
        <v>1135</v>
      </c>
      <c r="S71" s="7">
        <v>925</v>
      </c>
      <c r="T71" s="48">
        <f t="shared" si="30"/>
        <v>1.5429999999999999</v>
      </c>
      <c r="U71" s="58">
        <f t="shared" si="31"/>
        <v>6.1719999999999997</v>
      </c>
      <c r="V71" s="7"/>
      <c r="W71" s="5">
        <v>10.66</v>
      </c>
      <c r="X71" s="5">
        <f t="shared" si="32"/>
        <v>3411.2</v>
      </c>
      <c r="Y71" s="6"/>
    </row>
    <row r="72" spans="1:25" x14ac:dyDescent="0.25">
      <c r="A72" s="2" t="s">
        <v>11</v>
      </c>
      <c r="B72" s="10" t="s">
        <v>12</v>
      </c>
      <c r="C72" s="2">
        <v>436582</v>
      </c>
      <c r="D72" s="2">
        <v>2610000148</v>
      </c>
      <c r="E72" s="2">
        <v>8580220004</v>
      </c>
      <c r="F72" s="2">
        <v>5802</v>
      </c>
      <c r="G72" s="2" t="s">
        <v>40</v>
      </c>
      <c r="H72" s="16">
        <v>46287</v>
      </c>
      <c r="I72" s="16">
        <v>46287</v>
      </c>
      <c r="J72" s="7">
        <v>320</v>
      </c>
      <c r="K72" s="55">
        <v>5.29</v>
      </c>
      <c r="L72" s="7">
        <v>80</v>
      </c>
      <c r="M72" s="29"/>
      <c r="N72" s="7">
        <f t="shared" si="29"/>
        <v>1692.8</v>
      </c>
      <c r="O72" s="7"/>
      <c r="P72" s="7"/>
      <c r="Q72" s="7"/>
      <c r="R72" s="7"/>
      <c r="S72" s="7"/>
      <c r="T72" s="48">
        <f t="shared" si="30"/>
        <v>0</v>
      </c>
      <c r="U72" s="58">
        <f t="shared" si="31"/>
        <v>0</v>
      </c>
      <c r="V72" s="7"/>
      <c r="W72" s="5">
        <v>10.66</v>
      </c>
      <c r="X72" s="5">
        <f t="shared" si="32"/>
        <v>3411.2</v>
      </c>
      <c r="Y72" s="6"/>
    </row>
    <row r="73" spans="1:25" x14ac:dyDescent="0.25">
      <c r="A73" s="2" t="s">
        <v>11</v>
      </c>
      <c r="B73" s="10" t="s">
        <v>12</v>
      </c>
      <c r="C73" s="2">
        <v>436582</v>
      </c>
      <c r="D73" s="2">
        <v>2610000148</v>
      </c>
      <c r="E73" s="2">
        <v>8580310004</v>
      </c>
      <c r="F73" s="2">
        <v>5803</v>
      </c>
      <c r="G73" s="2" t="s">
        <v>43</v>
      </c>
      <c r="H73" s="16">
        <v>46287</v>
      </c>
      <c r="I73" s="16">
        <v>46287</v>
      </c>
      <c r="J73" s="7">
        <v>80</v>
      </c>
      <c r="K73" s="55">
        <v>4.46</v>
      </c>
      <c r="L73" s="7">
        <v>80</v>
      </c>
      <c r="M73" s="29">
        <f t="shared" si="22"/>
        <v>1</v>
      </c>
      <c r="N73" s="7">
        <f t="shared" si="29"/>
        <v>356.8</v>
      </c>
      <c r="O73" s="7"/>
      <c r="P73" s="7" t="s">
        <v>102</v>
      </c>
      <c r="Q73" s="7">
        <v>1470</v>
      </c>
      <c r="R73" s="7">
        <v>1135</v>
      </c>
      <c r="S73" s="7">
        <v>925</v>
      </c>
      <c r="T73" s="48">
        <f t="shared" si="30"/>
        <v>1.5429999999999999</v>
      </c>
      <c r="U73" s="58">
        <f t="shared" si="31"/>
        <v>1.5429999999999999</v>
      </c>
      <c r="V73" s="7"/>
      <c r="W73" s="5">
        <v>9.19</v>
      </c>
      <c r="X73" s="5">
        <f t="shared" si="32"/>
        <v>735.19999999999993</v>
      </c>
      <c r="Y73" s="6"/>
    </row>
    <row r="74" spans="1:25" x14ac:dyDescent="0.25">
      <c r="A74" s="2" t="s">
        <v>11</v>
      </c>
      <c r="B74" s="10" t="s">
        <v>12</v>
      </c>
      <c r="C74" s="2">
        <v>436582</v>
      </c>
      <c r="D74" s="2">
        <v>2610000148</v>
      </c>
      <c r="E74" s="2">
        <v>8580320004</v>
      </c>
      <c r="F74" s="2">
        <v>5803</v>
      </c>
      <c r="G74" s="2" t="s">
        <v>44</v>
      </c>
      <c r="H74" s="16">
        <v>46287</v>
      </c>
      <c r="I74" s="16">
        <v>46287</v>
      </c>
      <c r="J74" s="7">
        <v>80</v>
      </c>
      <c r="K74" s="55">
        <v>4.46</v>
      </c>
      <c r="L74" s="7">
        <v>80</v>
      </c>
      <c r="M74" s="29"/>
      <c r="N74" s="7">
        <f t="shared" si="29"/>
        <v>356.8</v>
      </c>
      <c r="O74" s="7"/>
      <c r="P74" s="7"/>
      <c r="Q74" s="7"/>
      <c r="R74" s="7"/>
      <c r="S74" s="7"/>
      <c r="T74" s="48">
        <f t="shared" si="30"/>
        <v>0</v>
      </c>
      <c r="U74" s="58">
        <f t="shared" si="31"/>
        <v>0</v>
      </c>
      <c r="V74" s="7"/>
      <c r="W74" s="5">
        <v>9.19</v>
      </c>
      <c r="X74" s="5">
        <f t="shared" si="32"/>
        <v>735.19999999999993</v>
      </c>
      <c r="Y74" s="6"/>
    </row>
    <row r="75" spans="1:25" x14ac:dyDescent="0.25">
      <c r="A75" s="2" t="s">
        <v>11</v>
      </c>
      <c r="B75" s="10" t="s">
        <v>12</v>
      </c>
      <c r="C75" s="2">
        <v>436582</v>
      </c>
      <c r="D75" s="2">
        <v>2610000148</v>
      </c>
      <c r="E75" s="2">
        <v>8839310104</v>
      </c>
      <c r="F75" s="2">
        <v>8393</v>
      </c>
      <c r="G75" s="2" t="s">
        <v>29</v>
      </c>
      <c r="H75" s="16">
        <v>46287</v>
      </c>
      <c r="I75" s="16">
        <v>46287</v>
      </c>
      <c r="J75" s="7">
        <v>650</v>
      </c>
      <c r="K75" s="55">
        <v>6.74</v>
      </c>
      <c r="L75" s="7">
        <v>50</v>
      </c>
      <c r="M75" s="29">
        <f t="shared" si="22"/>
        <v>13</v>
      </c>
      <c r="N75" s="7">
        <f t="shared" si="29"/>
        <v>4381</v>
      </c>
      <c r="O75" s="7"/>
      <c r="P75" s="7" t="s">
        <v>102</v>
      </c>
      <c r="Q75" s="7">
        <v>1470</v>
      </c>
      <c r="R75" s="7">
        <v>1135</v>
      </c>
      <c r="S75" s="7">
        <v>925</v>
      </c>
      <c r="T75" s="48">
        <f t="shared" si="30"/>
        <v>1.5429999999999999</v>
      </c>
      <c r="U75" s="58">
        <f t="shared" si="31"/>
        <v>20.058999999999997</v>
      </c>
      <c r="V75" s="7"/>
      <c r="W75" s="5">
        <v>12.32</v>
      </c>
      <c r="X75" s="5">
        <f t="shared" si="32"/>
        <v>8008</v>
      </c>
      <c r="Y75" s="6"/>
    </row>
    <row r="76" spans="1:25" x14ac:dyDescent="0.25">
      <c r="A76" s="2" t="s">
        <v>11</v>
      </c>
      <c r="B76" s="10" t="s">
        <v>12</v>
      </c>
      <c r="C76" s="2">
        <v>436582</v>
      </c>
      <c r="D76" s="2">
        <v>2610000148</v>
      </c>
      <c r="E76" s="2">
        <v>8839320104</v>
      </c>
      <c r="F76" s="2">
        <v>8393</v>
      </c>
      <c r="G76" s="2" t="s">
        <v>30</v>
      </c>
      <c r="H76" s="16">
        <v>46287</v>
      </c>
      <c r="I76" s="16">
        <v>46287</v>
      </c>
      <c r="J76" s="7">
        <v>650</v>
      </c>
      <c r="K76" s="55">
        <v>6.74</v>
      </c>
      <c r="L76" s="7">
        <v>50</v>
      </c>
      <c r="M76" s="29"/>
      <c r="N76" s="7">
        <f t="shared" si="29"/>
        <v>4381</v>
      </c>
      <c r="O76" s="7"/>
      <c r="P76" s="7"/>
      <c r="Q76" s="7"/>
      <c r="R76" s="7"/>
      <c r="S76" s="7"/>
      <c r="T76" s="48">
        <f t="shared" si="30"/>
        <v>0</v>
      </c>
      <c r="U76" s="58">
        <f t="shared" si="31"/>
        <v>0</v>
      </c>
      <c r="V76" s="7"/>
      <c r="W76" s="5">
        <v>12.32</v>
      </c>
      <c r="X76" s="5">
        <f t="shared" si="32"/>
        <v>8008</v>
      </c>
      <c r="Y76" s="6"/>
    </row>
    <row r="77" spans="1:25" x14ac:dyDescent="0.25">
      <c r="A77" s="2" t="s">
        <v>11</v>
      </c>
      <c r="B77" s="10" t="s">
        <v>12</v>
      </c>
      <c r="C77" s="2">
        <v>436582</v>
      </c>
      <c r="D77" s="2">
        <v>2610000148</v>
      </c>
      <c r="E77" s="2">
        <v>8839210104</v>
      </c>
      <c r="F77" s="2">
        <v>8392</v>
      </c>
      <c r="G77" s="2" t="s">
        <v>27</v>
      </c>
      <c r="H77" s="16">
        <v>46287</v>
      </c>
      <c r="I77" s="16">
        <v>46287</v>
      </c>
      <c r="J77" s="7">
        <v>200</v>
      </c>
      <c r="K77" s="55">
        <v>6.56</v>
      </c>
      <c r="L77" s="7">
        <v>50</v>
      </c>
      <c r="M77" s="29">
        <f t="shared" si="22"/>
        <v>4</v>
      </c>
      <c r="N77" s="7">
        <f t="shared" si="29"/>
        <v>1312</v>
      </c>
      <c r="O77" s="7"/>
      <c r="P77" s="7" t="s">
        <v>102</v>
      </c>
      <c r="Q77" s="7">
        <v>1470</v>
      </c>
      <c r="R77" s="7">
        <v>1135</v>
      </c>
      <c r="S77" s="7">
        <v>925</v>
      </c>
      <c r="T77" s="48">
        <f t="shared" si="30"/>
        <v>1.5429999999999999</v>
      </c>
      <c r="U77" s="58">
        <f t="shared" si="31"/>
        <v>6.1719999999999997</v>
      </c>
      <c r="V77" s="7"/>
      <c r="W77" s="5">
        <v>11.72</v>
      </c>
      <c r="X77" s="5">
        <f t="shared" si="32"/>
        <v>2344</v>
      </c>
      <c r="Y77" s="6"/>
    </row>
    <row r="78" spans="1:25" x14ac:dyDescent="0.25">
      <c r="A78" s="2" t="s">
        <v>11</v>
      </c>
      <c r="B78" s="10" t="s">
        <v>12</v>
      </c>
      <c r="C78" s="2">
        <v>436582</v>
      </c>
      <c r="D78" s="2">
        <v>2610000148</v>
      </c>
      <c r="E78" s="2">
        <v>8839220104</v>
      </c>
      <c r="F78" s="2">
        <v>8392</v>
      </c>
      <c r="G78" s="2" t="s">
        <v>28</v>
      </c>
      <c r="H78" s="16">
        <v>46287</v>
      </c>
      <c r="I78" s="16">
        <v>46287</v>
      </c>
      <c r="J78" s="7">
        <v>200</v>
      </c>
      <c r="K78" s="55">
        <v>6.56</v>
      </c>
      <c r="L78" s="7">
        <v>50</v>
      </c>
      <c r="M78" s="29"/>
      <c r="N78" s="7">
        <f t="shared" si="29"/>
        <v>1312</v>
      </c>
      <c r="O78" s="7"/>
      <c r="P78" s="7"/>
      <c r="Q78" s="7"/>
      <c r="R78" s="7"/>
      <c r="S78" s="7"/>
      <c r="T78" s="48">
        <f t="shared" si="30"/>
        <v>0</v>
      </c>
      <c r="U78" s="58">
        <f t="shared" si="31"/>
        <v>0</v>
      </c>
      <c r="V78" s="7"/>
      <c r="W78" s="5">
        <v>11.72</v>
      </c>
      <c r="X78" s="5">
        <f t="shared" si="32"/>
        <v>2344</v>
      </c>
      <c r="Y78" s="6"/>
    </row>
    <row r="79" spans="1:25" s="38" customFormat="1" x14ac:dyDescent="0.25">
      <c r="A79" s="32"/>
      <c r="B79" s="33"/>
      <c r="C79" s="32"/>
      <c r="D79" s="32"/>
      <c r="E79" s="32"/>
      <c r="F79" s="32"/>
      <c r="G79" s="32"/>
      <c r="H79" s="34"/>
      <c r="I79" s="34"/>
      <c r="J79" s="35"/>
      <c r="K79" s="57"/>
      <c r="L79" s="35"/>
      <c r="M79" s="35">
        <f>SUM(M69:M78)</f>
        <v>26</v>
      </c>
      <c r="N79" s="35">
        <f>SUM(N69:N78)</f>
        <v>18128.464</v>
      </c>
      <c r="O79" s="35">
        <f>N79+M79*47</f>
        <v>19350.464</v>
      </c>
      <c r="P79" s="35"/>
      <c r="Q79" s="35"/>
      <c r="R79" s="35"/>
      <c r="S79" s="35"/>
      <c r="T79" s="35"/>
      <c r="U79" s="35">
        <f>SUM(U69:U78)</f>
        <v>40.117999999999995</v>
      </c>
      <c r="V79" s="35"/>
      <c r="W79" s="36"/>
      <c r="X79" s="36">
        <f>SUM(X69:X78)</f>
        <v>34088.639999999999</v>
      </c>
      <c r="Y79" s="37"/>
    </row>
    <row r="80" spans="1:25" x14ac:dyDescent="0.25">
      <c r="A80" s="2" t="s">
        <v>11</v>
      </c>
      <c r="B80" s="10" t="s">
        <v>12</v>
      </c>
      <c r="C80" s="2">
        <v>436588</v>
      </c>
      <c r="D80" s="2">
        <v>2610000149</v>
      </c>
      <c r="E80" s="2">
        <v>8838210104</v>
      </c>
      <c r="F80" s="2">
        <v>8382</v>
      </c>
      <c r="G80" s="2" t="s">
        <v>42</v>
      </c>
      <c r="H80" s="16">
        <v>46287</v>
      </c>
      <c r="I80" s="16">
        <v>46287</v>
      </c>
      <c r="J80" s="7">
        <v>495</v>
      </c>
      <c r="K80" s="55">
        <v>6.19</v>
      </c>
      <c r="L80" s="7">
        <v>55</v>
      </c>
      <c r="M80" s="29">
        <f t="shared" si="22"/>
        <v>9</v>
      </c>
      <c r="N80" s="7">
        <f t="shared" si="29"/>
        <v>3064.05</v>
      </c>
      <c r="O80" s="7"/>
      <c r="P80" s="7" t="s">
        <v>102</v>
      </c>
      <c r="Q80" s="7">
        <v>1470</v>
      </c>
      <c r="R80" s="7">
        <v>1135</v>
      </c>
      <c r="S80" s="7">
        <v>925</v>
      </c>
      <c r="T80" s="48">
        <f t="shared" ref="T80:T85" si="33">ROUND((Q80*R80*S80)/1000000000,3)</f>
        <v>1.5429999999999999</v>
      </c>
      <c r="U80" s="58">
        <f t="shared" ref="U80:U85" si="34">T80*M80</f>
        <v>13.886999999999999</v>
      </c>
      <c r="V80" s="7"/>
      <c r="W80" s="5">
        <v>11.3</v>
      </c>
      <c r="X80" s="5">
        <f t="shared" ref="X80:X85" si="35">J80*W80</f>
        <v>5593.5</v>
      </c>
      <c r="Y80" s="6"/>
    </row>
    <row r="81" spans="1:25" x14ac:dyDescent="0.25">
      <c r="A81" s="2" t="s">
        <v>11</v>
      </c>
      <c r="B81" s="10" t="s">
        <v>12</v>
      </c>
      <c r="C81" s="2">
        <v>436588</v>
      </c>
      <c r="D81" s="2">
        <v>2610000149</v>
      </c>
      <c r="E81" s="2">
        <v>8838220104</v>
      </c>
      <c r="F81" s="2">
        <v>8382</v>
      </c>
      <c r="G81" s="2" t="s">
        <v>45</v>
      </c>
      <c r="H81" s="16">
        <v>46287</v>
      </c>
      <c r="I81" s="16">
        <v>46287</v>
      </c>
      <c r="J81" s="7">
        <v>495</v>
      </c>
      <c r="K81" s="55">
        <v>6.19</v>
      </c>
      <c r="L81" s="7">
        <v>55</v>
      </c>
      <c r="M81" s="29"/>
      <c r="N81" s="7">
        <f t="shared" si="29"/>
        <v>3064.05</v>
      </c>
      <c r="O81" s="7"/>
      <c r="P81" s="7"/>
      <c r="Q81" s="7"/>
      <c r="R81" s="7"/>
      <c r="S81" s="7"/>
      <c r="T81" s="48">
        <f t="shared" si="33"/>
        <v>0</v>
      </c>
      <c r="U81" s="58">
        <f t="shared" si="34"/>
        <v>0</v>
      </c>
      <c r="V81" s="7"/>
      <c r="W81" s="5">
        <v>11.3</v>
      </c>
      <c r="X81" s="5">
        <f t="shared" si="35"/>
        <v>5593.5</v>
      </c>
      <c r="Y81" s="6"/>
    </row>
    <row r="82" spans="1:25" x14ac:dyDescent="0.25">
      <c r="A82" s="2" t="s">
        <v>11</v>
      </c>
      <c r="B82" s="10" t="s">
        <v>12</v>
      </c>
      <c r="C82" s="2">
        <v>436588</v>
      </c>
      <c r="D82" s="2">
        <v>2610000149</v>
      </c>
      <c r="E82" s="2">
        <v>8563310004</v>
      </c>
      <c r="F82" s="2">
        <v>5633</v>
      </c>
      <c r="G82" s="2" t="s">
        <v>15</v>
      </c>
      <c r="H82" s="16">
        <v>46287</v>
      </c>
      <c r="I82" s="16">
        <v>46287</v>
      </c>
      <c r="J82" s="7">
        <v>520</v>
      </c>
      <c r="K82" s="55">
        <v>6.34</v>
      </c>
      <c r="L82" s="7">
        <v>52</v>
      </c>
      <c r="M82" s="29">
        <f t="shared" si="22"/>
        <v>10</v>
      </c>
      <c r="N82" s="7">
        <f t="shared" si="29"/>
        <v>3296.7999999999997</v>
      </c>
      <c r="O82" s="7"/>
      <c r="P82" s="7" t="s">
        <v>102</v>
      </c>
      <c r="Q82" s="7">
        <v>1470</v>
      </c>
      <c r="R82" s="7">
        <v>1135</v>
      </c>
      <c r="S82" s="7">
        <v>925</v>
      </c>
      <c r="T82" s="48">
        <f t="shared" si="33"/>
        <v>1.5429999999999999</v>
      </c>
      <c r="U82" s="58">
        <f t="shared" si="34"/>
        <v>15.43</v>
      </c>
      <c r="V82" s="7"/>
      <c r="W82" s="5">
        <v>12.26</v>
      </c>
      <c r="X82" s="5">
        <f t="shared" si="35"/>
        <v>6375.2</v>
      </c>
      <c r="Y82" s="6"/>
    </row>
    <row r="83" spans="1:25" x14ac:dyDescent="0.25">
      <c r="A83" s="2" t="s">
        <v>11</v>
      </c>
      <c r="B83" s="10" t="s">
        <v>12</v>
      </c>
      <c r="C83" s="2">
        <v>436588</v>
      </c>
      <c r="D83" s="2">
        <v>2610000149</v>
      </c>
      <c r="E83" s="2">
        <v>8563320004</v>
      </c>
      <c r="F83" s="2">
        <v>5633</v>
      </c>
      <c r="G83" s="2" t="s">
        <v>16</v>
      </c>
      <c r="H83" s="16">
        <v>46287</v>
      </c>
      <c r="I83" s="16">
        <v>46287</v>
      </c>
      <c r="J83" s="7">
        <v>520</v>
      </c>
      <c r="K83" s="55">
        <v>6.34</v>
      </c>
      <c r="L83" s="7">
        <v>52</v>
      </c>
      <c r="M83" s="29"/>
      <c r="N83" s="7">
        <f t="shared" si="29"/>
        <v>3296.7999999999997</v>
      </c>
      <c r="O83" s="7"/>
      <c r="P83" s="7"/>
      <c r="Q83" s="7"/>
      <c r="R83" s="7"/>
      <c r="S83" s="7"/>
      <c r="T83" s="48">
        <f t="shared" si="33"/>
        <v>0</v>
      </c>
      <c r="U83" s="58">
        <f t="shared" si="34"/>
        <v>0</v>
      </c>
      <c r="V83" s="7"/>
      <c r="W83" s="5">
        <v>12.26</v>
      </c>
      <c r="X83" s="5">
        <f t="shared" si="35"/>
        <v>6375.2</v>
      </c>
      <c r="Y83" s="6"/>
    </row>
    <row r="84" spans="1:25" x14ac:dyDescent="0.25">
      <c r="A84" s="2" t="s">
        <v>11</v>
      </c>
      <c r="B84" s="10" t="s">
        <v>12</v>
      </c>
      <c r="C84" s="2">
        <v>436588</v>
      </c>
      <c r="D84" s="2">
        <v>2610000149</v>
      </c>
      <c r="E84" s="2">
        <v>8100910004</v>
      </c>
      <c r="F84" s="2">
        <v>1009</v>
      </c>
      <c r="G84" s="2" t="s">
        <v>61</v>
      </c>
      <c r="H84" s="16">
        <v>46287</v>
      </c>
      <c r="I84" s="16">
        <v>46287</v>
      </c>
      <c r="J84" s="7">
        <v>880</v>
      </c>
      <c r="K84" s="55">
        <v>1.48</v>
      </c>
      <c r="L84" s="7">
        <v>220</v>
      </c>
      <c r="M84" s="29">
        <f t="shared" si="22"/>
        <v>4</v>
      </c>
      <c r="N84" s="7">
        <f t="shared" si="29"/>
        <v>1302.4000000000001</v>
      </c>
      <c r="O84" s="7"/>
      <c r="P84" s="7" t="s">
        <v>102</v>
      </c>
      <c r="Q84" s="7">
        <v>1470</v>
      </c>
      <c r="R84" s="7">
        <v>1135</v>
      </c>
      <c r="S84" s="7">
        <v>925</v>
      </c>
      <c r="T84" s="48">
        <f t="shared" si="33"/>
        <v>1.5429999999999999</v>
      </c>
      <c r="U84" s="58">
        <f t="shared" si="34"/>
        <v>6.1719999999999997</v>
      </c>
      <c r="V84" s="7"/>
      <c r="W84" s="5">
        <v>3.59</v>
      </c>
      <c r="X84" s="5">
        <f t="shared" si="35"/>
        <v>3159.2</v>
      </c>
      <c r="Y84" s="6"/>
    </row>
    <row r="85" spans="1:25" x14ac:dyDescent="0.25">
      <c r="A85" s="2" t="s">
        <v>11</v>
      </c>
      <c r="B85" s="10" t="s">
        <v>12</v>
      </c>
      <c r="C85" s="2">
        <v>436588</v>
      </c>
      <c r="D85" s="2">
        <v>2610000149</v>
      </c>
      <c r="E85" s="2">
        <v>8100920004</v>
      </c>
      <c r="F85" s="2">
        <v>1009</v>
      </c>
      <c r="G85" s="2" t="s">
        <v>62</v>
      </c>
      <c r="H85" s="16">
        <v>46287</v>
      </c>
      <c r="I85" s="16">
        <v>46287</v>
      </c>
      <c r="J85" s="7">
        <v>880</v>
      </c>
      <c r="K85" s="55">
        <v>1.48</v>
      </c>
      <c r="L85" s="7">
        <v>220</v>
      </c>
      <c r="M85" s="29"/>
      <c r="N85" s="7">
        <f t="shared" si="29"/>
        <v>1302.4000000000001</v>
      </c>
      <c r="O85" s="7"/>
      <c r="P85" s="7"/>
      <c r="Q85" s="7"/>
      <c r="R85" s="7"/>
      <c r="S85" s="7"/>
      <c r="T85" s="48">
        <f t="shared" si="33"/>
        <v>0</v>
      </c>
      <c r="U85" s="58">
        <f t="shared" si="34"/>
        <v>0</v>
      </c>
      <c r="V85" s="7"/>
      <c r="W85" s="5">
        <v>3.59</v>
      </c>
      <c r="X85" s="5">
        <f t="shared" si="35"/>
        <v>3159.2</v>
      </c>
      <c r="Y85" s="6"/>
    </row>
    <row r="86" spans="1:25" s="38" customFormat="1" x14ac:dyDescent="0.25">
      <c r="A86" s="32"/>
      <c r="B86" s="33"/>
      <c r="C86" s="32"/>
      <c r="D86" s="32"/>
      <c r="E86" s="32"/>
      <c r="F86" s="32"/>
      <c r="G86" s="32"/>
      <c r="H86" s="34"/>
      <c r="I86" s="34"/>
      <c r="J86" s="35"/>
      <c r="K86" s="57"/>
      <c r="L86" s="35"/>
      <c r="M86" s="35">
        <f>SUM(M80:M85)</f>
        <v>23</v>
      </c>
      <c r="N86" s="35">
        <f>SUM(N80:N85)</f>
        <v>15326.499999999998</v>
      </c>
      <c r="O86" s="35">
        <f>N86+M86*47</f>
        <v>16407.5</v>
      </c>
      <c r="P86" s="35"/>
      <c r="Q86" s="35"/>
      <c r="R86" s="35"/>
      <c r="S86" s="35"/>
      <c r="T86" s="35"/>
      <c r="U86" s="35">
        <f>SUM(U80:U85)</f>
        <v>35.488999999999997</v>
      </c>
      <c r="V86" s="35"/>
      <c r="W86" s="36"/>
      <c r="X86" s="36">
        <f>SUM(X80:X85)</f>
        <v>30255.800000000003</v>
      </c>
      <c r="Y86" s="37"/>
    </row>
    <row r="87" spans="1:25" x14ac:dyDescent="0.25">
      <c r="A87" s="2" t="s">
        <v>11</v>
      </c>
      <c r="B87" s="10" t="s">
        <v>12</v>
      </c>
      <c r="C87" s="2">
        <v>436589</v>
      </c>
      <c r="D87" s="2">
        <v>2610000150</v>
      </c>
      <c r="E87" s="2">
        <v>8838310104</v>
      </c>
      <c r="F87" s="2">
        <v>8383</v>
      </c>
      <c r="G87" s="2" t="s">
        <v>23</v>
      </c>
      <c r="H87" s="16">
        <v>46287</v>
      </c>
      <c r="I87" s="16">
        <v>46287</v>
      </c>
      <c r="J87" s="7">
        <v>1430</v>
      </c>
      <c r="K87" s="55">
        <v>6.36</v>
      </c>
      <c r="L87" s="7">
        <v>55</v>
      </c>
      <c r="M87" s="29">
        <f t="shared" si="22"/>
        <v>26</v>
      </c>
      <c r="N87" s="7">
        <f t="shared" si="29"/>
        <v>9094.8000000000011</v>
      </c>
      <c r="O87" s="7"/>
      <c r="P87" s="7" t="s">
        <v>102</v>
      </c>
      <c r="Q87" s="7">
        <v>1470</v>
      </c>
      <c r="R87" s="7">
        <v>1135</v>
      </c>
      <c r="S87" s="7">
        <v>925</v>
      </c>
      <c r="T87" s="48">
        <f t="shared" ref="T87:T88" si="36">ROUND((Q87*R87*S87)/1000000000,3)</f>
        <v>1.5429999999999999</v>
      </c>
      <c r="U87" s="58">
        <f t="shared" ref="U87:U88" si="37">T87*M87</f>
        <v>40.117999999999995</v>
      </c>
      <c r="V87" s="7"/>
      <c r="W87" s="5">
        <v>11.7</v>
      </c>
      <c r="X87" s="5">
        <f>J87*W87</f>
        <v>16731</v>
      </c>
      <c r="Y87" s="6"/>
    </row>
    <row r="88" spans="1:25" x14ac:dyDescent="0.25">
      <c r="A88" s="2" t="s">
        <v>11</v>
      </c>
      <c r="B88" s="10" t="s">
        <v>12</v>
      </c>
      <c r="C88" s="2">
        <v>436589</v>
      </c>
      <c r="D88" s="2">
        <v>2610000150</v>
      </c>
      <c r="E88" s="2">
        <v>8838320104</v>
      </c>
      <c r="F88" s="2">
        <v>8383</v>
      </c>
      <c r="G88" s="2" t="s">
        <v>24</v>
      </c>
      <c r="H88" s="16">
        <v>46287</v>
      </c>
      <c r="I88" s="16">
        <v>46287</v>
      </c>
      <c r="J88" s="7">
        <v>1430</v>
      </c>
      <c r="K88" s="55">
        <v>6.36</v>
      </c>
      <c r="L88" s="7">
        <v>55</v>
      </c>
      <c r="M88" s="7"/>
      <c r="N88" s="7">
        <f t="shared" si="29"/>
        <v>9094.8000000000011</v>
      </c>
      <c r="O88" s="7"/>
      <c r="P88" s="7"/>
      <c r="Q88" s="7"/>
      <c r="R88" s="7"/>
      <c r="S88" s="7"/>
      <c r="T88" s="48">
        <f t="shared" si="36"/>
        <v>0</v>
      </c>
      <c r="U88" s="58">
        <f t="shared" si="37"/>
        <v>0</v>
      </c>
      <c r="V88" s="7"/>
      <c r="W88" s="5">
        <v>11.7</v>
      </c>
      <c r="X88" s="5">
        <f>J88*W88</f>
        <v>16731</v>
      </c>
      <c r="Y88" s="6"/>
    </row>
    <row r="89" spans="1:25" s="38" customFormat="1" x14ac:dyDescent="0.25">
      <c r="A89" s="32"/>
      <c r="B89" s="33"/>
      <c r="C89" s="32"/>
      <c r="D89" s="32"/>
      <c r="E89" s="32"/>
      <c r="F89" s="32"/>
      <c r="G89" s="32"/>
      <c r="H89" s="34"/>
      <c r="I89" s="34"/>
      <c r="J89" s="35"/>
      <c r="K89" s="57"/>
      <c r="L89" s="35"/>
      <c r="M89" s="35">
        <f>SUM(M87:M88)</f>
        <v>26</v>
      </c>
      <c r="N89" s="35">
        <f>SUM(N87:N88)</f>
        <v>18189.600000000002</v>
      </c>
      <c r="O89" s="35">
        <f>N89+M89*47</f>
        <v>19411.600000000002</v>
      </c>
      <c r="P89" s="35"/>
      <c r="Q89" s="35"/>
      <c r="R89" s="35"/>
      <c r="S89" s="35"/>
      <c r="T89" s="35"/>
      <c r="U89" s="57">
        <f>SUM(U87:U88)</f>
        <v>40.117999999999995</v>
      </c>
      <c r="V89" s="35"/>
      <c r="W89" s="36"/>
      <c r="X89" s="36">
        <f>SUM(X87:X88)</f>
        <v>33462</v>
      </c>
      <c r="Y89" s="37"/>
    </row>
    <row r="90" spans="1:25" x14ac:dyDescent="0.25">
      <c r="A90" s="2" t="s">
        <v>11</v>
      </c>
      <c r="B90" s="10" t="s">
        <v>12</v>
      </c>
      <c r="C90" s="2">
        <v>436590</v>
      </c>
      <c r="D90" s="2">
        <v>2610000151</v>
      </c>
      <c r="E90" s="2">
        <v>8833310004</v>
      </c>
      <c r="F90" s="2">
        <v>8333</v>
      </c>
      <c r="G90" s="2" t="s">
        <v>33</v>
      </c>
      <c r="H90" s="16">
        <v>46288</v>
      </c>
      <c r="I90" s="16">
        <v>46288</v>
      </c>
      <c r="J90" s="7">
        <v>1344</v>
      </c>
      <c r="K90" s="55">
        <v>5.41</v>
      </c>
      <c r="L90" s="7">
        <v>56</v>
      </c>
      <c r="M90" s="29">
        <f t="shared" ref="M90:M108" si="38">J90/L90</f>
        <v>24</v>
      </c>
      <c r="N90" s="7">
        <f t="shared" si="29"/>
        <v>7271.04</v>
      </c>
      <c r="O90" s="7"/>
      <c r="P90" s="7" t="s">
        <v>102</v>
      </c>
      <c r="Q90" s="7">
        <v>1470</v>
      </c>
      <c r="R90" s="7">
        <v>1135</v>
      </c>
      <c r="S90" s="7">
        <v>925</v>
      </c>
      <c r="T90" s="48">
        <f t="shared" ref="T90:T93" si="39">ROUND((Q90*R90*S90)/1000000000,3)</f>
        <v>1.5429999999999999</v>
      </c>
      <c r="U90" s="58">
        <f t="shared" ref="U90:U102" si="40">T90*M90</f>
        <v>37.031999999999996</v>
      </c>
      <c r="V90" s="7"/>
      <c r="W90" s="5">
        <v>7.94</v>
      </c>
      <c r="X90" s="5">
        <f>J90*W90</f>
        <v>10671.36</v>
      </c>
      <c r="Y90" s="6"/>
    </row>
    <row r="91" spans="1:25" x14ac:dyDescent="0.25">
      <c r="A91" s="2" t="s">
        <v>11</v>
      </c>
      <c r="B91" s="10" t="s">
        <v>12</v>
      </c>
      <c r="C91" s="2">
        <v>436590</v>
      </c>
      <c r="D91" s="2">
        <v>2610000151</v>
      </c>
      <c r="E91" s="2">
        <v>8833320004</v>
      </c>
      <c r="F91" s="2">
        <v>8333</v>
      </c>
      <c r="G91" s="2" t="s">
        <v>34</v>
      </c>
      <c r="H91" s="16">
        <v>46288</v>
      </c>
      <c r="I91" s="16">
        <v>46288</v>
      </c>
      <c r="J91" s="7">
        <v>1344</v>
      </c>
      <c r="K91" s="55">
        <v>5.41</v>
      </c>
      <c r="L91" s="7">
        <v>56</v>
      </c>
      <c r="M91" s="29"/>
      <c r="N91" s="7">
        <f t="shared" si="29"/>
        <v>7271.04</v>
      </c>
      <c r="O91" s="7"/>
      <c r="P91" s="7"/>
      <c r="Q91" s="7"/>
      <c r="R91" s="7"/>
      <c r="S91" s="7"/>
      <c r="T91" s="48">
        <f t="shared" si="39"/>
        <v>0</v>
      </c>
      <c r="U91" s="58">
        <f t="shared" si="40"/>
        <v>0</v>
      </c>
      <c r="V91" s="7"/>
      <c r="W91" s="5">
        <v>7.94</v>
      </c>
      <c r="X91" s="5">
        <f>J91*W91</f>
        <v>10671.36</v>
      </c>
      <c r="Y91" s="6"/>
    </row>
    <row r="92" spans="1:25" x14ac:dyDescent="0.25">
      <c r="A92" s="2" t="s">
        <v>11</v>
      </c>
      <c r="B92" s="10" t="s">
        <v>12</v>
      </c>
      <c r="C92" s="2">
        <v>436590</v>
      </c>
      <c r="D92" s="2">
        <v>2610000151</v>
      </c>
      <c r="E92" s="2">
        <v>8833410004</v>
      </c>
      <c r="F92" s="2">
        <v>8334</v>
      </c>
      <c r="G92" s="2" t="s">
        <v>21</v>
      </c>
      <c r="H92" s="16">
        <v>46288</v>
      </c>
      <c r="I92" s="16">
        <v>46288</v>
      </c>
      <c r="J92" s="7">
        <v>336</v>
      </c>
      <c r="K92" s="55">
        <v>5.44</v>
      </c>
      <c r="L92" s="7">
        <v>56</v>
      </c>
      <c r="M92" s="29">
        <f t="shared" si="38"/>
        <v>6</v>
      </c>
      <c r="N92" s="7">
        <f t="shared" si="29"/>
        <v>1827.8400000000001</v>
      </c>
      <c r="O92" s="7"/>
      <c r="P92" s="7" t="s">
        <v>102</v>
      </c>
      <c r="Q92" s="7">
        <v>1470</v>
      </c>
      <c r="R92" s="7">
        <v>1135</v>
      </c>
      <c r="S92" s="7">
        <v>925</v>
      </c>
      <c r="T92" s="48">
        <f t="shared" si="39"/>
        <v>1.5429999999999999</v>
      </c>
      <c r="U92" s="58">
        <f t="shared" si="40"/>
        <v>9.2579999999999991</v>
      </c>
      <c r="V92" s="7"/>
      <c r="W92" s="5">
        <v>7.82</v>
      </c>
      <c r="X92" s="5">
        <f>J92*W92</f>
        <v>2627.52</v>
      </c>
      <c r="Y92" s="6"/>
    </row>
    <row r="93" spans="1:25" x14ac:dyDescent="0.25">
      <c r="A93" s="2" t="s">
        <v>11</v>
      </c>
      <c r="B93" s="10" t="s">
        <v>12</v>
      </c>
      <c r="C93" s="2">
        <v>436590</v>
      </c>
      <c r="D93" s="2">
        <v>2610000151</v>
      </c>
      <c r="E93" s="2">
        <v>8833420004</v>
      </c>
      <c r="F93" s="2">
        <v>8334</v>
      </c>
      <c r="G93" s="2" t="s">
        <v>22</v>
      </c>
      <c r="H93" s="16">
        <v>46288</v>
      </c>
      <c r="I93" s="16">
        <v>46288</v>
      </c>
      <c r="J93" s="7">
        <v>336</v>
      </c>
      <c r="K93" s="55">
        <v>5.44</v>
      </c>
      <c r="L93" s="7">
        <v>56</v>
      </c>
      <c r="M93" s="29"/>
      <c r="N93" s="7">
        <f t="shared" si="29"/>
        <v>1827.8400000000001</v>
      </c>
      <c r="O93" s="7"/>
      <c r="P93" s="7"/>
      <c r="Q93" s="7"/>
      <c r="R93" s="7"/>
      <c r="S93" s="7"/>
      <c r="T93" s="48">
        <f t="shared" si="39"/>
        <v>0</v>
      </c>
      <c r="U93" s="58">
        <f t="shared" si="40"/>
        <v>0</v>
      </c>
      <c r="V93" s="7"/>
      <c r="W93" s="5">
        <v>7.82</v>
      </c>
      <c r="X93" s="5">
        <f>J93*W93</f>
        <v>2627.52</v>
      </c>
      <c r="Y93" s="6"/>
    </row>
    <row r="94" spans="1:25" s="38" customFormat="1" x14ac:dyDescent="0.25">
      <c r="A94" s="32"/>
      <c r="B94" s="33"/>
      <c r="C94" s="32"/>
      <c r="D94" s="32"/>
      <c r="E94" s="32"/>
      <c r="F94" s="32"/>
      <c r="G94" s="32"/>
      <c r="H94" s="34"/>
      <c r="I94" s="34"/>
      <c r="J94" s="35"/>
      <c r="K94" s="57"/>
      <c r="L94" s="35"/>
      <c r="M94" s="35">
        <f>SUM(M90:M93)</f>
        <v>30</v>
      </c>
      <c r="N94" s="35">
        <f>SUM(N90:N93)</f>
        <v>18197.760000000002</v>
      </c>
      <c r="O94" s="35">
        <f>N94+M94*47</f>
        <v>19607.760000000002</v>
      </c>
      <c r="P94" s="35"/>
      <c r="Q94" s="35"/>
      <c r="R94" s="35"/>
      <c r="S94" s="35"/>
      <c r="T94" s="35"/>
      <c r="U94" s="35">
        <f>SUM(U90:U93)</f>
        <v>46.289999999999992</v>
      </c>
      <c r="V94" s="35"/>
      <c r="W94" s="36"/>
      <c r="X94" s="36">
        <f>SUM(X90:X93)</f>
        <v>26597.760000000002</v>
      </c>
      <c r="Y94" s="37"/>
    </row>
    <row r="95" spans="1:25" x14ac:dyDescent="0.25">
      <c r="A95" s="2" t="s">
        <v>11</v>
      </c>
      <c r="B95" s="10" t="s">
        <v>12</v>
      </c>
      <c r="C95" s="2">
        <v>436591</v>
      </c>
      <c r="D95" s="2">
        <v>2610000152</v>
      </c>
      <c r="E95" s="2">
        <v>8836210004</v>
      </c>
      <c r="F95" s="2">
        <v>8362</v>
      </c>
      <c r="G95" s="2" t="s">
        <v>35</v>
      </c>
      <c r="H95" s="16">
        <v>46288</v>
      </c>
      <c r="I95" s="16">
        <v>46288</v>
      </c>
      <c r="J95" s="7">
        <v>140</v>
      </c>
      <c r="K95" s="55">
        <v>4.99</v>
      </c>
      <c r="L95" s="7">
        <v>70</v>
      </c>
      <c r="M95" s="29">
        <f t="shared" si="38"/>
        <v>2</v>
      </c>
      <c r="N95" s="7">
        <f t="shared" si="29"/>
        <v>698.6</v>
      </c>
      <c r="O95" s="7"/>
      <c r="P95" s="7" t="s">
        <v>102</v>
      </c>
      <c r="Q95" s="7">
        <v>1470</v>
      </c>
      <c r="R95" s="7">
        <v>1135</v>
      </c>
      <c r="S95" s="7">
        <v>925</v>
      </c>
      <c r="T95" s="48">
        <f t="shared" ref="T95:T102" si="41">ROUND((Q95*R95*S95)/1000000000,3)</f>
        <v>1.5429999999999999</v>
      </c>
      <c r="U95" s="58">
        <f t="shared" si="40"/>
        <v>3.0859999999999999</v>
      </c>
      <c r="V95" s="7"/>
      <c r="W95" s="5">
        <v>8.06</v>
      </c>
      <c r="X95" s="5">
        <f t="shared" ref="X95:X102" si="42">J95*W95</f>
        <v>1128.4000000000001</v>
      </c>
      <c r="Y95" s="6"/>
    </row>
    <row r="96" spans="1:25" x14ac:dyDescent="0.25">
      <c r="A96" s="2" t="s">
        <v>11</v>
      </c>
      <c r="B96" s="10" t="s">
        <v>12</v>
      </c>
      <c r="C96" s="2">
        <v>436591</v>
      </c>
      <c r="D96" s="2">
        <v>2610000152</v>
      </c>
      <c r="E96" s="2">
        <v>8836220004</v>
      </c>
      <c r="F96" s="2">
        <v>8362</v>
      </c>
      <c r="G96" s="2" t="s">
        <v>36</v>
      </c>
      <c r="H96" s="16">
        <v>46288</v>
      </c>
      <c r="I96" s="16">
        <v>46288</v>
      </c>
      <c r="J96" s="7">
        <v>140</v>
      </c>
      <c r="K96" s="55">
        <v>4.99</v>
      </c>
      <c r="L96" s="7">
        <v>70</v>
      </c>
      <c r="M96" s="29"/>
      <c r="N96" s="7">
        <f t="shared" si="29"/>
        <v>698.6</v>
      </c>
      <c r="O96" s="7"/>
      <c r="P96" s="7"/>
      <c r="Q96" s="7"/>
      <c r="R96" s="7"/>
      <c r="S96" s="7"/>
      <c r="T96" s="48">
        <f t="shared" si="41"/>
        <v>0</v>
      </c>
      <c r="U96" s="58">
        <f t="shared" si="40"/>
        <v>0</v>
      </c>
      <c r="V96" s="7"/>
      <c r="W96" s="5">
        <v>8.06</v>
      </c>
      <c r="X96" s="5">
        <f t="shared" si="42"/>
        <v>1128.4000000000001</v>
      </c>
      <c r="Y96" s="6"/>
    </row>
    <row r="97" spans="1:25" x14ac:dyDescent="0.25">
      <c r="A97" s="2" t="s">
        <v>11</v>
      </c>
      <c r="B97" s="10" t="s">
        <v>12</v>
      </c>
      <c r="C97" s="2">
        <v>436591</v>
      </c>
      <c r="D97" s="2">
        <v>2610000152</v>
      </c>
      <c r="E97" s="2">
        <v>8835310004</v>
      </c>
      <c r="F97" s="2">
        <v>8353</v>
      </c>
      <c r="G97" s="2" t="s">
        <v>13</v>
      </c>
      <c r="H97" s="16">
        <v>46288</v>
      </c>
      <c r="I97" s="16">
        <v>46288</v>
      </c>
      <c r="J97" s="7">
        <v>1350</v>
      </c>
      <c r="K97" s="55">
        <v>4.8499999999999996</v>
      </c>
      <c r="L97" s="7">
        <v>75</v>
      </c>
      <c r="M97" s="29">
        <f t="shared" si="38"/>
        <v>18</v>
      </c>
      <c r="N97" s="7">
        <f t="shared" si="29"/>
        <v>6547.4999999999991</v>
      </c>
      <c r="O97" s="7"/>
      <c r="P97" s="7" t="s">
        <v>102</v>
      </c>
      <c r="Q97" s="7">
        <v>1470</v>
      </c>
      <c r="R97" s="7">
        <v>1135</v>
      </c>
      <c r="S97" s="7">
        <v>925</v>
      </c>
      <c r="T97" s="48">
        <f t="shared" si="41"/>
        <v>1.5429999999999999</v>
      </c>
      <c r="U97" s="58">
        <f t="shared" si="40"/>
        <v>27.773999999999997</v>
      </c>
      <c r="V97" s="7"/>
      <c r="W97" s="5">
        <v>7.95</v>
      </c>
      <c r="X97" s="5">
        <f t="shared" si="42"/>
        <v>10732.5</v>
      </c>
      <c r="Y97" s="6"/>
    </row>
    <row r="98" spans="1:25" x14ac:dyDescent="0.25">
      <c r="A98" s="2" t="s">
        <v>11</v>
      </c>
      <c r="B98" s="10" t="s">
        <v>12</v>
      </c>
      <c r="C98" s="2">
        <v>436591</v>
      </c>
      <c r="D98" s="2">
        <v>2610000152</v>
      </c>
      <c r="E98" s="2">
        <v>8835320004</v>
      </c>
      <c r="F98" s="2">
        <v>8353</v>
      </c>
      <c r="G98" s="2" t="s">
        <v>14</v>
      </c>
      <c r="H98" s="16">
        <v>46288</v>
      </c>
      <c r="I98" s="16">
        <v>46288</v>
      </c>
      <c r="J98" s="7">
        <v>1350</v>
      </c>
      <c r="K98" s="55">
        <v>4.8499999999999996</v>
      </c>
      <c r="L98" s="7">
        <v>75</v>
      </c>
      <c r="M98" s="29"/>
      <c r="N98" s="7">
        <f t="shared" si="29"/>
        <v>6547.4999999999991</v>
      </c>
      <c r="O98" s="7"/>
      <c r="P98" s="7"/>
      <c r="Q98" s="7"/>
      <c r="R98" s="7"/>
      <c r="S98" s="7"/>
      <c r="T98" s="48">
        <f t="shared" si="41"/>
        <v>0</v>
      </c>
      <c r="U98" s="58">
        <f t="shared" si="40"/>
        <v>0</v>
      </c>
      <c r="V98" s="7"/>
      <c r="W98" s="5">
        <v>7.95</v>
      </c>
      <c r="X98" s="5">
        <f t="shared" si="42"/>
        <v>10732.5</v>
      </c>
      <c r="Y98" s="6"/>
    </row>
    <row r="99" spans="1:25" x14ac:dyDescent="0.25">
      <c r="A99" s="2" t="s">
        <v>11</v>
      </c>
      <c r="B99" s="10" t="s">
        <v>12</v>
      </c>
      <c r="C99" s="2">
        <v>436591</v>
      </c>
      <c r="D99" s="2">
        <v>2610000152</v>
      </c>
      <c r="E99" s="2">
        <v>8832310004</v>
      </c>
      <c r="F99" s="2">
        <v>8323</v>
      </c>
      <c r="G99" s="2" t="s">
        <v>17</v>
      </c>
      <c r="H99" s="16">
        <v>46288</v>
      </c>
      <c r="I99" s="16">
        <v>46288</v>
      </c>
      <c r="J99" s="7">
        <v>168</v>
      </c>
      <c r="K99" s="55">
        <v>5.73</v>
      </c>
      <c r="L99" s="7">
        <v>56</v>
      </c>
      <c r="M99" s="29">
        <f t="shared" si="38"/>
        <v>3</v>
      </c>
      <c r="N99" s="7">
        <f t="shared" si="29"/>
        <v>962.6400000000001</v>
      </c>
      <c r="O99" s="7"/>
      <c r="P99" s="7" t="s">
        <v>102</v>
      </c>
      <c r="Q99" s="7">
        <v>1470</v>
      </c>
      <c r="R99" s="7">
        <v>1135</v>
      </c>
      <c r="S99" s="7">
        <v>925</v>
      </c>
      <c r="T99" s="48">
        <f t="shared" si="41"/>
        <v>1.5429999999999999</v>
      </c>
      <c r="U99" s="58">
        <f t="shared" si="40"/>
        <v>4.6289999999999996</v>
      </c>
      <c r="V99" s="7"/>
      <c r="W99" s="5">
        <v>8.4700000000000006</v>
      </c>
      <c r="X99" s="5">
        <f t="shared" si="42"/>
        <v>1422.96</v>
      </c>
      <c r="Y99" s="6"/>
    </row>
    <row r="100" spans="1:25" x14ac:dyDescent="0.25">
      <c r="A100" s="2" t="s">
        <v>11</v>
      </c>
      <c r="B100" s="10" t="s">
        <v>12</v>
      </c>
      <c r="C100" s="2">
        <v>436591</v>
      </c>
      <c r="D100" s="2">
        <v>2610000152</v>
      </c>
      <c r="E100" s="2">
        <v>8832320004</v>
      </c>
      <c r="F100" s="2">
        <v>8323</v>
      </c>
      <c r="G100" s="2" t="s">
        <v>18</v>
      </c>
      <c r="H100" s="16">
        <v>46288</v>
      </c>
      <c r="I100" s="16">
        <v>46288</v>
      </c>
      <c r="J100" s="7">
        <v>168</v>
      </c>
      <c r="K100" s="55">
        <v>5.73</v>
      </c>
      <c r="L100" s="7">
        <v>56</v>
      </c>
      <c r="M100" s="29"/>
      <c r="N100" s="7">
        <f t="shared" si="29"/>
        <v>962.6400000000001</v>
      </c>
      <c r="O100" s="7"/>
      <c r="P100" s="7"/>
      <c r="Q100" s="7"/>
      <c r="R100" s="7"/>
      <c r="S100" s="7"/>
      <c r="T100" s="48">
        <f t="shared" si="41"/>
        <v>0</v>
      </c>
      <c r="U100" s="58">
        <f t="shared" si="40"/>
        <v>0</v>
      </c>
      <c r="V100" s="7"/>
      <c r="W100" s="5">
        <v>8.4700000000000006</v>
      </c>
      <c r="X100" s="5">
        <f t="shared" si="42"/>
        <v>1422.96</v>
      </c>
      <c r="Y100" s="6"/>
    </row>
    <row r="101" spans="1:25" x14ac:dyDescent="0.25">
      <c r="A101" s="2" t="s">
        <v>11</v>
      </c>
      <c r="B101" s="10" t="s">
        <v>12</v>
      </c>
      <c r="C101" s="2">
        <v>436591</v>
      </c>
      <c r="D101" s="2">
        <v>2610000152</v>
      </c>
      <c r="E101" s="2">
        <v>8832410004</v>
      </c>
      <c r="F101" s="2">
        <v>8324</v>
      </c>
      <c r="G101" s="2" t="s">
        <v>19</v>
      </c>
      <c r="H101" s="16">
        <v>46288</v>
      </c>
      <c r="I101" s="16">
        <v>46288</v>
      </c>
      <c r="J101" s="7">
        <v>168</v>
      </c>
      <c r="K101" s="55">
        <v>5.68</v>
      </c>
      <c r="L101" s="7">
        <v>56</v>
      </c>
      <c r="M101" s="29">
        <f t="shared" si="38"/>
        <v>3</v>
      </c>
      <c r="N101" s="7">
        <f t="shared" si="29"/>
        <v>954.24</v>
      </c>
      <c r="O101" s="7"/>
      <c r="P101" s="7" t="s">
        <v>102</v>
      </c>
      <c r="Q101" s="7">
        <v>1470</v>
      </c>
      <c r="R101" s="7">
        <v>1135</v>
      </c>
      <c r="S101" s="7">
        <v>925</v>
      </c>
      <c r="T101" s="48">
        <f t="shared" si="41"/>
        <v>1.5429999999999999</v>
      </c>
      <c r="U101" s="58">
        <f t="shared" si="40"/>
        <v>4.6289999999999996</v>
      </c>
      <c r="V101" s="7"/>
      <c r="W101" s="5">
        <v>8.35</v>
      </c>
      <c r="X101" s="5">
        <f t="shared" si="42"/>
        <v>1402.8</v>
      </c>
      <c r="Y101" s="6"/>
    </row>
    <row r="102" spans="1:25" x14ac:dyDescent="0.25">
      <c r="A102" s="2" t="s">
        <v>11</v>
      </c>
      <c r="B102" s="10" t="s">
        <v>12</v>
      </c>
      <c r="C102" s="2">
        <v>436591</v>
      </c>
      <c r="D102" s="2">
        <v>2610000152</v>
      </c>
      <c r="E102" s="2">
        <v>8832420004</v>
      </c>
      <c r="F102" s="2">
        <v>8324</v>
      </c>
      <c r="G102" s="2" t="s">
        <v>20</v>
      </c>
      <c r="H102" s="16">
        <v>46288</v>
      </c>
      <c r="I102" s="16">
        <v>46288</v>
      </c>
      <c r="J102" s="7">
        <v>168</v>
      </c>
      <c r="K102" s="55">
        <v>5.68</v>
      </c>
      <c r="L102" s="7">
        <v>56</v>
      </c>
      <c r="M102" s="29"/>
      <c r="N102" s="7">
        <f t="shared" si="29"/>
        <v>954.24</v>
      </c>
      <c r="O102" s="7"/>
      <c r="P102" s="7"/>
      <c r="Q102" s="7"/>
      <c r="R102" s="7"/>
      <c r="S102" s="7"/>
      <c r="T102" s="48">
        <f t="shared" si="41"/>
        <v>0</v>
      </c>
      <c r="U102" s="58">
        <f t="shared" si="40"/>
        <v>0</v>
      </c>
      <c r="V102" s="7"/>
      <c r="W102" s="5">
        <v>8.35</v>
      </c>
      <c r="X102" s="5">
        <f t="shared" si="42"/>
        <v>1402.8</v>
      </c>
      <c r="Y102" s="6"/>
    </row>
    <row r="103" spans="1:25" s="38" customFormat="1" x14ac:dyDescent="0.25">
      <c r="A103" s="32"/>
      <c r="B103" s="33"/>
      <c r="C103" s="32"/>
      <c r="D103" s="32"/>
      <c r="E103" s="32"/>
      <c r="F103" s="32"/>
      <c r="G103" s="32"/>
      <c r="H103" s="34"/>
      <c r="I103" s="34"/>
      <c r="J103" s="35"/>
      <c r="K103" s="57"/>
      <c r="L103" s="35"/>
      <c r="M103" s="35">
        <f>SUM(M95:M102)</f>
        <v>26</v>
      </c>
      <c r="N103" s="35">
        <f>SUM(N95:N102)</f>
        <v>18325.96</v>
      </c>
      <c r="O103" s="35">
        <f>N103+M103*47</f>
        <v>19547.96</v>
      </c>
      <c r="P103" s="35"/>
      <c r="Q103" s="35"/>
      <c r="R103" s="35"/>
      <c r="S103" s="35"/>
      <c r="T103" s="35"/>
      <c r="U103" s="35">
        <f>SUM(U95:U102)</f>
        <v>40.117999999999995</v>
      </c>
      <c r="V103" s="35"/>
      <c r="W103" s="36"/>
      <c r="X103" s="36">
        <f>SUM(X95:X102)</f>
        <v>29373.319999999996</v>
      </c>
      <c r="Y103" s="37"/>
    </row>
    <row r="104" spans="1:25" x14ac:dyDescent="0.25">
      <c r="A104" s="2" t="s">
        <v>11</v>
      </c>
      <c r="B104" s="10" t="s">
        <v>12</v>
      </c>
      <c r="C104" s="2">
        <v>436592</v>
      </c>
      <c r="D104" s="2">
        <v>2610000153</v>
      </c>
      <c r="E104" s="2">
        <v>8836310004</v>
      </c>
      <c r="F104" s="2">
        <v>8363</v>
      </c>
      <c r="G104" s="2" t="s">
        <v>25</v>
      </c>
      <c r="H104" s="16">
        <v>46288</v>
      </c>
      <c r="I104" s="16">
        <v>46288</v>
      </c>
      <c r="J104" s="7">
        <v>770</v>
      </c>
      <c r="K104" s="55">
        <v>5.0999999999999996</v>
      </c>
      <c r="L104" s="7">
        <v>70</v>
      </c>
      <c r="M104" s="29">
        <f t="shared" si="38"/>
        <v>11</v>
      </c>
      <c r="N104" s="7">
        <f t="shared" si="29"/>
        <v>3926.9999999999995</v>
      </c>
      <c r="O104" s="7"/>
      <c r="P104" s="7" t="s">
        <v>102</v>
      </c>
      <c r="Q104" s="7">
        <v>1470</v>
      </c>
      <c r="R104" s="7">
        <v>1135</v>
      </c>
      <c r="S104" s="7">
        <v>925</v>
      </c>
      <c r="T104" s="48">
        <f t="shared" ref="T104:T109" si="43">ROUND((Q104*R104*S104)/1000000000,3)</f>
        <v>1.5429999999999999</v>
      </c>
      <c r="U104" s="58">
        <f t="shared" ref="U104:U109" si="44">T104*M104</f>
        <v>16.972999999999999</v>
      </c>
      <c r="V104" s="7"/>
      <c r="W104" s="5">
        <v>8.44</v>
      </c>
      <c r="X104" s="5">
        <f t="shared" ref="X104:X109" si="45">J104*W104</f>
        <v>6498.7999999999993</v>
      </c>
      <c r="Y104" s="6"/>
    </row>
    <row r="105" spans="1:25" x14ac:dyDescent="0.25">
      <c r="A105" s="2" t="s">
        <v>11</v>
      </c>
      <c r="B105" s="10" t="s">
        <v>12</v>
      </c>
      <c r="C105" s="2">
        <v>436592</v>
      </c>
      <c r="D105" s="2">
        <v>2610000153</v>
      </c>
      <c r="E105" s="2">
        <v>8836320004</v>
      </c>
      <c r="F105" s="2">
        <v>8363</v>
      </c>
      <c r="G105" s="2" t="s">
        <v>26</v>
      </c>
      <c r="H105" s="16">
        <v>46288</v>
      </c>
      <c r="I105" s="16">
        <v>46288</v>
      </c>
      <c r="J105" s="7">
        <v>770</v>
      </c>
      <c r="K105" s="55">
        <v>5.0999999999999996</v>
      </c>
      <c r="L105" s="7">
        <v>70</v>
      </c>
      <c r="M105" s="29"/>
      <c r="N105" s="7">
        <f t="shared" si="29"/>
        <v>3926.9999999999995</v>
      </c>
      <c r="O105" s="7"/>
      <c r="P105" s="7"/>
      <c r="Q105" s="7"/>
      <c r="R105" s="7"/>
      <c r="S105" s="7"/>
      <c r="T105" s="48">
        <f t="shared" si="43"/>
        <v>0</v>
      </c>
      <c r="U105" s="58">
        <f t="shared" si="44"/>
        <v>0</v>
      </c>
      <c r="V105" s="7"/>
      <c r="W105" s="5">
        <v>8.44</v>
      </c>
      <c r="X105" s="5">
        <f t="shared" si="45"/>
        <v>6498.7999999999993</v>
      </c>
      <c r="Y105" s="6"/>
    </row>
    <row r="106" spans="1:25" x14ac:dyDescent="0.25">
      <c r="A106" s="2" t="s">
        <v>11</v>
      </c>
      <c r="B106" s="10" t="s">
        <v>12</v>
      </c>
      <c r="C106" s="2">
        <v>436592</v>
      </c>
      <c r="D106" s="2">
        <v>2610000153</v>
      </c>
      <c r="E106" s="2">
        <v>8835210004</v>
      </c>
      <c r="F106" s="2">
        <v>8352</v>
      </c>
      <c r="G106" s="2" t="s">
        <v>37</v>
      </c>
      <c r="H106" s="16">
        <v>46288</v>
      </c>
      <c r="I106" s="16">
        <v>46288</v>
      </c>
      <c r="J106" s="7">
        <v>150</v>
      </c>
      <c r="K106" s="55">
        <v>4.7</v>
      </c>
      <c r="L106" s="7">
        <v>75</v>
      </c>
      <c r="M106" s="29">
        <f t="shared" si="38"/>
        <v>2</v>
      </c>
      <c r="N106" s="7">
        <f t="shared" si="29"/>
        <v>705</v>
      </c>
      <c r="O106" s="7"/>
      <c r="P106" s="7" t="s">
        <v>102</v>
      </c>
      <c r="Q106" s="7">
        <v>1470</v>
      </c>
      <c r="R106" s="7">
        <v>1135</v>
      </c>
      <c r="S106" s="7">
        <v>925</v>
      </c>
      <c r="T106" s="48">
        <f t="shared" si="43"/>
        <v>1.5429999999999999</v>
      </c>
      <c r="U106" s="58">
        <f t="shared" si="44"/>
        <v>3.0859999999999999</v>
      </c>
      <c r="V106" s="7"/>
      <c r="W106" s="5">
        <v>7.61</v>
      </c>
      <c r="X106" s="5">
        <f t="shared" si="45"/>
        <v>1141.5</v>
      </c>
      <c r="Y106" s="6"/>
    </row>
    <row r="107" spans="1:25" x14ac:dyDescent="0.25">
      <c r="A107" s="2" t="s">
        <v>11</v>
      </c>
      <c r="B107" s="10" t="s">
        <v>12</v>
      </c>
      <c r="C107" s="2">
        <v>436592</v>
      </c>
      <c r="D107" s="2">
        <v>2610000153</v>
      </c>
      <c r="E107" s="2">
        <v>8835220004</v>
      </c>
      <c r="F107" s="2">
        <v>8352</v>
      </c>
      <c r="G107" s="2" t="s">
        <v>38</v>
      </c>
      <c r="H107" s="16">
        <v>46288</v>
      </c>
      <c r="I107" s="16">
        <v>46288</v>
      </c>
      <c r="J107" s="7">
        <v>150</v>
      </c>
      <c r="K107" s="55">
        <v>4.7</v>
      </c>
      <c r="L107" s="7">
        <v>75</v>
      </c>
      <c r="M107" s="29"/>
      <c r="N107" s="7">
        <f t="shared" si="29"/>
        <v>705</v>
      </c>
      <c r="O107" s="7"/>
      <c r="P107" s="7"/>
      <c r="Q107" s="7"/>
      <c r="R107" s="7"/>
      <c r="S107" s="7"/>
      <c r="T107" s="48">
        <f t="shared" si="43"/>
        <v>0</v>
      </c>
      <c r="U107" s="58">
        <f t="shared" si="44"/>
        <v>0</v>
      </c>
      <c r="V107" s="7"/>
      <c r="W107" s="5">
        <v>7.61</v>
      </c>
      <c r="X107" s="5">
        <f t="shared" si="45"/>
        <v>1141.5</v>
      </c>
      <c r="Y107" s="6"/>
    </row>
    <row r="108" spans="1:25" x14ac:dyDescent="0.25">
      <c r="A108" s="9" t="s">
        <v>11</v>
      </c>
      <c r="B108" s="10" t="s">
        <v>12</v>
      </c>
      <c r="C108" s="2">
        <v>436592</v>
      </c>
      <c r="D108" s="2">
        <v>2610000153</v>
      </c>
      <c r="E108" s="2">
        <v>8832310004</v>
      </c>
      <c r="F108" s="2">
        <v>8323</v>
      </c>
      <c r="G108" s="2" t="s">
        <v>17</v>
      </c>
      <c r="H108" s="16">
        <v>46288</v>
      </c>
      <c r="I108" s="16">
        <v>46288</v>
      </c>
      <c r="J108" s="12">
        <v>784</v>
      </c>
      <c r="K108" s="58">
        <v>5.73</v>
      </c>
      <c r="L108" s="12">
        <v>56</v>
      </c>
      <c r="M108" s="29">
        <f t="shared" si="38"/>
        <v>14</v>
      </c>
      <c r="N108" s="7">
        <f t="shared" si="29"/>
        <v>4492.3200000000006</v>
      </c>
      <c r="O108" s="12"/>
      <c r="P108" s="7" t="s">
        <v>102</v>
      </c>
      <c r="Q108" s="7">
        <v>1470</v>
      </c>
      <c r="R108" s="7">
        <v>1135</v>
      </c>
      <c r="S108" s="7">
        <v>925</v>
      </c>
      <c r="T108" s="48">
        <f t="shared" si="43"/>
        <v>1.5429999999999999</v>
      </c>
      <c r="U108" s="58">
        <f t="shared" si="44"/>
        <v>21.602</v>
      </c>
      <c r="V108" s="12"/>
      <c r="W108" s="14">
        <v>8.4700000000000006</v>
      </c>
      <c r="X108" s="14">
        <f t="shared" si="45"/>
        <v>6640.4800000000005</v>
      </c>
      <c r="Y108" s="6"/>
    </row>
    <row r="109" spans="1:25" x14ac:dyDescent="0.25">
      <c r="A109" s="2" t="s">
        <v>11</v>
      </c>
      <c r="B109" s="10" t="s">
        <v>12</v>
      </c>
      <c r="C109" s="2">
        <v>436592</v>
      </c>
      <c r="D109" s="2">
        <v>2610000153</v>
      </c>
      <c r="E109" s="2">
        <v>8832320004</v>
      </c>
      <c r="F109" s="2">
        <v>8323</v>
      </c>
      <c r="G109" s="2" t="s">
        <v>18</v>
      </c>
      <c r="H109" s="16">
        <v>46288</v>
      </c>
      <c r="I109" s="16">
        <v>46288</v>
      </c>
      <c r="J109" s="7">
        <v>784</v>
      </c>
      <c r="K109" s="55">
        <v>5.73</v>
      </c>
      <c r="L109" s="7">
        <v>56</v>
      </c>
      <c r="M109" s="29"/>
      <c r="N109" s="7">
        <f t="shared" si="29"/>
        <v>4492.3200000000006</v>
      </c>
      <c r="O109" s="7"/>
      <c r="P109" s="7"/>
      <c r="Q109" s="7"/>
      <c r="R109" s="7"/>
      <c r="S109" s="7"/>
      <c r="T109" s="48">
        <f t="shared" si="43"/>
        <v>0</v>
      </c>
      <c r="U109" s="58">
        <f t="shared" si="44"/>
        <v>0</v>
      </c>
      <c r="V109" s="7"/>
      <c r="W109" s="5">
        <v>8.4700000000000006</v>
      </c>
      <c r="X109" s="5">
        <f t="shared" si="45"/>
        <v>6640.4800000000005</v>
      </c>
      <c r="Y109" s="6"/>
    </row>
    <row r="110" spans="1:25" s="38" customFormat="1" x14ac:dyDescent="0.25">
      <c r="A110" s="32"/>
      <c r="B110" s="33"/>
      <c r="C110" s="32"/>
      <c r="D110" s="32"/>
      <c r="E110" s="32"/>
      <c r="F110" s="32"/>
      <c r="G110" s="32"/>
      <c r="H110" s="34"/>
      <c r="I110" s="34"/>
      <c r="J110" s="35"/>
      <c r="K110" s="57"/>
      <c r="L110" s="35"/>
      <c r="M110" s="35">
        <f>SUM(M104:M109)</f>
        <v>27</v>
      </c>
      <c r="N110" s="35">
        <f>SUM(N104:N109)</f>
        <v>18248.64</v>
      </c>
      <c r="O110" s="35">
        <f>N110+M110*47</f>
        <v>19517.64</v>
      </c>
      <c r="P110" s="35"/>
      <c r="Q110" s="35"/>
      <c r="R110" s="35"/>
      <c r="S110" s="35"/>
      <c r="T110" s="35"/>
      <c r="U110" s="35"/>
      <c r="V110" s="35"/>
      <c r="W110" s="36"/>
      <c r="X110" s="36">
        <f>SUM(X104:X109)</f>
        <v>28561.559999999998</v>
      </c>
      <c r="Y110" s="37"/>
    </row>
  </sheetData>
  <autoFilter ref="A1:Y1" xr:uid="{1A8EFCA6-F47F-4C23-85BA-115E34C07973}"/>
  <pageMargins left="0.7" right="0.7" top="0.75" bottom="0.75" header="0.3" footer="0.3"/>
  <pageSetup paperSize="9" scale="86" orientation="landscape" r:id="rId1"/>
</worksheet>
</file>

<file path=docMetadata/LabelInfo.xml><?xml version="1.0" encoding="utf-8"?>
<clbl:labelList xmlns:clbl="http://schemas.microsoft.com/office/2020/mipLabelMetadata">
  <clbl:label id="{f60eeb91-d2b7-410c-a142-739340bc5b89}" enabled="1" method="Standard" siteId="{ee75c49c-c1cb-49e2-b55d-6b0f8e02208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Data-full info.</vt:lpstr>
      <vt:lpstr>whs-production</vt:lpstr>
      <vt:lpstr>'whs-production'!Print_Area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Pham</dc:creator>
  <cp:lastModifiedBy>VINH PHAM</cp:lastModifiedBy>
  <cp:lastPrinted>2026-09-11T06:18:43Z</cp:lastPrinted>
  <dcterms:created xsi:type="dcterms:W3CDTF">2026-08-27T06:07:55Z</dcterms:created>
  <dcterms:modified xsi:type="dcterms:W3CDTF">2026-09-11T07:31:40Z</dcterms:modified>
</cp:coreProperties>
</file>